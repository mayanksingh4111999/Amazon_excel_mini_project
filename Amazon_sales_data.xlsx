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719a3b336ef5cee1/Desktop/"/>
    </mc:Choice>
  </mc:AlternateContent>
  <xr:revisionPtr revIDLastSave="1" documentId="13_ncr:1_{40F3BA36-594C-4825-A34F-1E787C6D026A}" xr6:coauthVersionLast="47" xr6:coauthVersionMax="47" xr10:uidLastSave="{9FCC6E71-8441-4468-BFB1-EBDEE281ABD3}"/>
  <bookViews>
    <workbookView xWindow="-120" yWindow="-120" windowWidth="29040" windowHeight="15720" activeTab="6" xr2:uid="{A611AD69-F62C-4185-AEA6-C22B7B4FD00C}"/>
  </bookViews>
  <sheets>
    <sheet name="RegionGoals" sheetId="5" r:id="rId1"/>
    <sheet name="ProductMaster" sheetId="4" r:id="rId2"/>
    <sheet name="CustomerMaster" sheetId="3" r:id="rId3"/>
    <sheet name="pivot_Table" sheetId="7" r:id="rId4"/>
    <sheet name="Dashboard" sheetId="16" r:id="rId5"/>
    <sheet name="AmazonSales" sheetId="2" r:id="rId6"/>
    <sheet name="summary" sheetId="19" r:id="rId7"/>
  </sheets>
  <definedNames>
    <definedName name="ExternalData_1" localSheetId="5" hidden="1">AmazonSales!$A$1:$M$101</definedName>
    <definedName name="ExternalData_2" localSheetId="2" hidden="1">'CustomerMaster'!$A$1:$E$50</definedName>
    <definedName name="ExternalData_3" localSheetId="1" hidden="1">ProductMaster!$A$1:$E$23</definedName>
    <definedName name="ExternalData_4" localSheetId="0" hidden="1">'RegionGoals'!$A$1:$B$6</definedName>
    <definedName name="Slicer_Delivery_Status">#N/A</definedName>
    <definedName name="Slicer_Payment_Method">#N/A</definedName>
    <definedName name="Slicer_Product_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01" i="2" l="1"/>
  <c r="U101" i="2"/>
  <c r="T101" i="2"/>
  <c r="S101" i="2"/>
  <c r="R101" i="2"/>
  <c r="Q101" i="2"/>
  <c r="P101" i="2"/>
  <c r="O101" i="2"/>
  <c r="N101" i="2"/>
  <c r="V100" i="2"/>
  <c r="U100" i="2"/>
  <c r="T100" i="2"/>
  <c r="S100" i="2"/>
  <c r="R100" i="2"/>
  <c r="Q100" i="2"/>
  <c r="P100" i="2"/>
  <c r="O100" i="2"/>
  <c r="N100" i="2"/>
  <c r="V99" i="2"/>
  <c r="U99" i="2"/>
  <c r="T99" i="2"/>
  <c r="S99" i="2"/>
  <c r="R99" i="2"/>
  <c r="Q99" i="2"/>
  <c r="P99" i="2"/>
  <c r="O99" i="2"/>
  <c r="N99" i="2"/>
  <c r="V98" i="2"/>
  <c r="U98" i="2"/>
  <c r="T98" i="2"/>
  <c r="S98" i="2"/>
  <c r="R98" i="2"/>
  <c r="Q98" i="2"/>
  <c r="P98" i="2"/>
  <c r="O98" i="2"/>
  <c r="N98" i="2"/>
  <c r="V97" i="2"/>
  <c r="U97" i="2"/>
  <c r="T97" i="2"/>
  <c r="S97" i="2"/>
  <c r="R97" i="2"/>
  <c r="Q97" i="2"/>
  <c r="P97" i="2"/>
  <c r="O97" i="2"/>
  <c r="N97" i="2"/>
  <c r="V96" i="2"/>
  <c r="U96" i="2"/>
  <c r="T96" i="2"/>
  <c r="S96" i="2"/>
  <c r="R96" i="2"/>
  <c r="Q96" i="2"/>
  <c r="P96" i="2"/>
  <c r="O96" i="2"/>
  <c r="N96" i="2"/>
  <c r="V95" i="2"/>
  <c r="U95" i="2"/>
  <c r="T95" i="2"/>
  <c r="S95" i="2"/>
  <c r="R95" i="2"/>
  <c r="Q95" i="2"/>
  <c r="P95" i="2"/>
  <c r="O95" i="2"/>
  <c r="N95" i="2"/>
  <c r="V94" i="2"/>
  <c r="U94" i="2"/>
  <c r="T94" i="2"/>
  <c r="S94" i="2"/>
  <c r="R94" i="2"/>
  <c r="Q94" i="2"/>
  <c r="P94" i="2"/>
  <c r="O94" i="2"/>
  <c r="N94" i="2"/>
  <c r="V93" i="2"/>
  <c r="U93" i="2"/>
  <c r="T93" i="2"/>
  <c r="S93" i="2"/>
  <c r="R93" i="2"/>
  <c r="Q93" i="2"/>
  <c r="P93" i="2"/>
  <c r="O93" i="2"/>
  <c r="N93" i="2"/>
  <c r="V92" i="2"/>
  <c r="U92" i="2"/>
  <c r="T92" i="2"/>
  <c r="S92" i="2"/>
  <c r="R92" i="2"/>
  <c r="Q92" i="2"/>
  <c r="P92" i="2"/>
  <c r="O92" i="2"/>
  <c r="N92" i="2"/>
  <c r="V91" i="2"/>
  <c r="U91" i="2"/>
  <c r="T91" i="2"/>
  <c r="S91" i="2"/>
  <c r="R91" i="2"/>
  <c r="Q91" i="2"/>
  <c r="P91" i="2"/>
  <c r="O91" i="2"/>
  <c r="N91" i="2"/>
  <c r="V90" i="2"/>
  <c r="U90" i="2"/>
  <c r="T90" i="2"/>
  <c r="S90" i="2"/>
  <c r="R90" i="2"/>
  <c r="Q90" i="2"/>
  <c r="P90" i="2"/>
  <c r="O90" i="2"/>
  <c r="N90" i="2"/>
  <c r="V89" i="2"/>
  <c r="U89" i="2"/>
  <c r="T89" i="2"/>
  <c r="S89" i="2"/>
  <c r="R89" i="2"/>
  <c r="Q89" i="2"/>
  <c r="P89" i="2"/>
  <c r="O89" i="2"/>
  <c r="N89" i="2"/>
  <c r="V88" i="2"/>
  <c r="U88" i="2"/>
  <c r="T88" i="2"/>
  <c r="S88" i="2"/>
  <c r="R88" i="2"/>
  <c r="Q88" i="2"/>
  <c r="P88" i="2"/>
  <c r="O88" i="2"/>
  <c r="N88" i="2"/>
  <c r="V87" i="2"/>
  <c r="U87" i="2"/>
  <c r="T87" i="2"/>
  <c r="S87" i="2"/>
  <c r="R87" i="2"/>
  <c r="Q87" i="2"/>
  <c r="P87" i="2"/>
  <c r="O87" i="2"/>
  <c r="N87" i="2"/>
  <c r="V86" i="2"/>
  <c r="U86" i="2"/>
  <c r="T86" i="2"/>
  <c r="S86" i="2"/>
  <c r="R86" i="2"/>
  <c r="Q86" i="2"/>
  <c r="P86" i="2"/>
  <c r="O86" i="2"/>
  <c r="N86" i="2"/>
  <c r="V85" i="2"/>
  <c r="U85" i="2"/>
  <c r="T85" i="2"/>
  <c r="S85" i="2"/>
  <c r="R85" i="2"/>
  <c r="Q85" i="2"/>
  <c r="P85" i="2"/>
  <c r="O85" i="2"/>
  <c r="N85" i="2"/>
  <c r="V84" i="2"/>
  <c r="U84" i="2"/>
  <c r="T84" i="2"/>
  <c r="S84" i="2"/>
  <c r="R84" i="2"/>
  <c r="Q84" i="2"/>
  <c r="P84" i="2"/>
  <c r="O84" i="2"/>
  <c r="N84" i="2"/>
  <c r="V83" i="2"/>
  <c r="U83" i="2"/>
  <c r="T83" i="2"/>
  <c r="S83" i="2"/>
  <c r="R83" i="2"/>
  <c r="Q83" i="2"/>
  <c r="P83" i="2"/>
  <c r="O83" i="2"/>
  <c r="N83" i="2"/>
  <c r="V82" i="2"/>
  <c r="U82" i="2"/>
  <c r="T82" i="2"/>
  <c r="S82" i="2"/>
  <c r="R82" i="2"/>
  <c r="Q82" i="2"/>
  <c r="P82" i="2"/>
  <c r="O82" i="2"/>
  <c r="N82" i="2"/>
  <c r="V81" i="2"/>
  <c r="U81" i="2"/>
  <c r="T81" i="2"/>
  <c r="S81" i="2"/>
  <c r="R81" i="2"/>
  <c r="Q81" i="2"/>
  <c r="P81" i="2"/>
  <c r="O81" i="2"/>
  <c r="N81" i="2"/>
  <c r="V80" i="2"/>
  <c r="U80" i="2"/>
  <c r="T80" i="2"/>
  <c r="S80" i="2"/>
  <c r="R80" i="2"/>
  <c r="Q80" i="2"/>
  <c r="P80" i="2"/>
  <c r="O80" i="2"/>
  <c r="N80" i="2"/>
  <c r="V79" i="2"/>
  <c r="U79" i="2"/>
  <c r="T79" i="2"/>
  <c r="S79" i="2"/>
  <c r="R79" i="2"/>
  <c r="Q79" i="2"/>
  <c r="P79" i="2"/>
  <c r="O79" i="2"/>
  <c r="N79" i="2"/>
  <c r="V78" i="2"/>
  <c r="U78" i="2"/>
  <c r="T78" i="2"/>
  <c r="S78" i="2"/>
  <c r="R78" i="2"/>
  <c r="Q78" i="2"/>
  <c r="P78" i="2"/>
  <c r="O78" i="2"/>
  <c r="N78" i="2"/>
  <c r="V77" i="2"/>
  <c r="U77" i="2"/>
  <c r="T77" i="2"/>
  <c r="S77" i="2"/>
  <c r="R77" i="2"/>
  <c r="Q77" i="2"/>
  <c r="P77" i="2"/>
  <c r="O77" i="2"/>
  <c r="N77" i="2"/>
  <c r="V76" i="2"/>
  <c r="U76" i="2"/>
  <c r="T76" i="2"/>
  <c r="S76" i="2"/>
  <c r="R76" i="2"/>
  <c r="Q76" i="2"/>
  <c r="P76" i="2"/>
  <c r="O76" i="2"/>
  <c r="N76" i="2"/>
  <c r="V75" i="2"/>
  <c r="U75" i="2"/>
  <c r="T75" i="2"/>
  <c r="S75" i="2"/>
  <c r="R75" i="2"/>
  <c r="Q75" i="2"/>
  <c r="P75" i="2"/>
  <c r="O75" i="2"/>
  <c r="N75" i="2"/>
  <c r="V74" i="2"/>
  <c r="U74" i="2"/>
  <c r="T74" i="2"/>
  <c r="S74" i="2"/>
  <c r="R74" i="2"/>
  <c r="Q74" i="2"/>
  <c r="P74" i="2"/>
  <c r="O74" i="2"/>
  <c r="N74" i="2"/>
  <c r="V73" i="2"/>
  <c r="U73" i="2"/>
  <c r="T73" i="2"/>
  <c r="S73" i="2"/>
  <c r="R73" i="2"/>
  <c r="Q73" i="2"/>
  <c r="P73" i="2"/>
  <c r="O73" i="2"/>
  <c r="N73" i="2"/>
  <c r="V72" i="2"/>
  <c r="U72" i="2"/>
  <c r="T72" i="2"/>
  <c r="S72" i="2"/>
  <c r="R72" i="2"/>
  <c r="Q72" i="2"/>
  <c r="P72" i="2"/>
  <c r="O72" i="2"/>
  <c r="N72" i="2"/>
  <c r="V71" i="2"/>
  <c r="U71" i="2"/>
  <c r="T71" i="2"/>
  <c r="S71" i="2"/>
  <c r="R71" i="2"/>
  <c r="Q71" i="2"/>
  <c r="P71" i="2"/>
  <c r="O71" i="2"/>
  <c r="N71" i="2"/>
  <c r="V70" i="2"/>
  <c r="U70" i="2"/>
  <c r="T70" i="2"/>
  <c r="S70" i="2"/>
  <c r="R70" i="2"/>
  <c r="Q70" i="2"/>
  <c r="P70" i="2"/>
  <c r="O70" i="2"/>
  <c r="N70" i="2"/>
  <c r="V69" i="2"/>
  <c r="U69" i="2"/>
  <c r="T69" i="2"/>
  <c r="S69" i="2"/>
  <c r="R69" i="2"/>
  <c r="Q69" i="2"/>
  <c r="P69" i="2"/>
  <c r="O69" i="2"/>
  <c r="N69" i="2"/>
  <c r="V68" i="2"/>
  <c r="U68" i="2"/>
  <c r="T68" i="2"/>
  <c r="S68" i="2"/>
  <c r="R68" i="2"/>
  <c r="Q68" i="2"/>
  <c r="P68" i="2"/>
  <c r="O68" i="2"/>
  <c r="N68" i="2"/>
  <c r="V67" i="2"/>
  <c r="U67" i="2"/>
  <c r="T67" i="2"/>
  <c r="S67" i="2"/>
  <c r="R67" i="2"/>
  <c r="Q67" i="2"/>
  <c r="P67" i="2"/>
  <c r="O67" i="2"/>
  <c r="N67" i="2"/>
  <c r="V66" i="2"/>
  <c r="U66" i="2"/>
  <c r="T66" i="2"/>
  <c r="S66" i="2"/>
  <c r="R66" i="2"/>
  <c r="Q66" i="2"/>
  <c r="P66" i="2"/>
  <c r="O66" i="2"/>
  <c r="N66" i="2"/>
  <c r="V65" i="2"/>
  <c r="U65" i="2"/>
  <c r="T65" i="2"/>
  <c r="S65" i="2"/>
  <c r="R65" i="2"/>
  <c r="Q65" i="2"/>
  <c r="P65" i="2"/>
  <c r="O65" i="2"/>
  <c r="N65" i="2"/>
  <c r="V64" i="2"/>
  <c r="U64" i="2"/>
  <c r="T64" i="2"/>
  <c r="S64" i="2"/>
  <c r="R64" i="2"/>
  <c r="Q64" i="2"/>
  <c r="P64" i="2"/>
  <c r="O64" i="2"/>
  <c r="N64" i="2"/>
  <c r="V63" i="2"/>
  <c r="U63" i="2"/>
  <c r="T63" i="2"/>
  <c r="S63" i="2"/>
  <c r="R63" i="2"/>
  <c r="Q63" i="2"/>
  <c r="P63" i="2"/>
  <c r="O63" i="2"/>
  <c r="N63" i="2"/>
  <c r="V62" i="2"/>
  <c r="U62" i="2"/>
  <c r="T62" i="2"/>
  <c r="S62" i="2"/>
  <c r="R62" i="2"/>
  <c r="Q62" i="2"/>
  <c r="P62" i="2"/>
  <c r="O62" i="2"/>
  <c r="N62" i="2"/>
  <c r="V61" i="2"/>
  <c r="U61" i="2"/>
  <c r="T61" i="2"/>
  <c r="S61" i="2"/>
  <c r="R61" i="2"/>
  <c r="Q61" i="2"/>
  <c r="P61" i="2"/>
  <c r="O61" i="2"/>
  <c r="N61" i="2"/>
  <c r="V60" i="2"/>
  <c r="U60" i="2"/>
  <c r="T60" i="2"/>
  <c r="S60" i="2"/>
  <c r="R60" i="2"/>
  <c r="Q60" i="2"/>
  <c r="P60" i="2"/>
  <c r="O60" i="2"/>
  <c r="N60" i="2"/>
  <c r="V59" i="2"/>
  <c r="U59" i="2"/>
  <c r="T59" i="2"/>
  <c r="S59" i="2"/>
  <c r="R59" i="2"/>
  <c r="Q59" i="2"/>
  <c r="P59" i="2"/>
  <c r="O59" i="2"/>
  <c r="N59" i="2"/>
  <c r="V58" i="2"/>
  <c r="U58" i="2"/>
  <c r="T58" i="2"/>
  <c r="S58" i="2"/>
  <c r="R58" i="2"/>
  <c r="Q58" i="2"/>
  <c r="P58" i="2"/>
  <c r="O58" i="2"/>
  <c r="N58" i="2"/>
  <c r="V57" i="2"/>
  <c r="U57" i="2"/>
  <c r="T57" i="2"/>
  <c r="S57" i="2"/>
  <c r="R57" i="2"/>
  <c r="Q57" i="2"/>
  <c r="P57" i="2"/>
  <c r="O57" i="2"/>
  <c r="N57" i="2"/>
  <c r="V56" i="2"/>
  <c r="U56" i="2"/>
  <c r="T56" i="2"/>
  <c r="S56" i="2"/>
  <c r="R56" i="2"/>
  <c r="Q56" i="2"/>
  <c r="P56" i="2"/>
  <c r="O56" i="2"/>
  <c r="N56" i="2"/>
  <c r="V55" i="2"/>
  <c r="U55" i="2"/>
  <c r="T55" i="2"/>
  <c r="S55" i="2"/>
  <c r="R55" i="2"/>
  <c r="Q55" i="2"/>
  <c r="P55" i="2"/>
  <c r="O55" i="2"/>
  <c r="N55" i="2"/>
  <c r="V54" i="2"/>
  <c r="U54" i="2"/>
  <c r="T54" i="2"/>
  <c r="S54" i="2"/>
  <c r="R54" i="2"/>
  <c r="Q54" i="2"/>
  <c r="P54" i="2"/>
  <c r="O54" i="2"/>
  <c r="N54" i="2"/>
  <c r="V53" i="2"/>
  <c r="U53" i="2"/>
  <c r="T53" i="2"/>
  <c r="S53" i="2"/>
  <c r="R53" i="2"/>
  <c r="Q53" i="2"/>
  <c r="P53" i="2"/>
  <c r="O53" i="2"/>
  <c r="N53" i="2"/>
  <c r="V52" i="2"/>
  <c r="U52" i="2"/>
  <c r="T52" i="2"/>
  <c r="S52" i="2"/>
  <c r="R52" i="2"/>
  <c r="Q52" i="2"/>
  <c r="P52" i="2"/>
  <c r="O52" i="2"/>
  <c r="N52" i="2"/>
  <c r="V51" i="2"/>
  <c r="U51" i="2"/>
  <c r="T51" i="2"/>
  <c r="S51" i="2"/>
  <c r="R51" i="2"/>
  <c r="Q51" i="2"/>
  <c r="P51" i="2"/>
  <c r="O51" i="2"/>
  <c r="N51" i="2"/>
  <c r="V50" i="2"/>
  <c r="U50" i="2"/>
  <c r="T50" i="2"/>
  <c r="S50" i="2"/>
  <c r="R50" i="2"/>
  <c r="Q50" i="2"/>
  <c r="P50" i="2"/>
  <c r="O50" i="2"/>
  <c r="N50" i="2"/>
  <c r="V49" i="2"/>
  <c r="U49" i="2"/>
  <c r="T49" i="2"/>
  <c r="S49" i="2"/>
  <c r="R49" i="2"/>
  <c r="Q49" i="2"/>
  <c r="P49" i="2"/>
  <c r="O49" i="2"/>
  <c r="N49" i="2"/>
  <c r="V48" i="2"/>
  <c r="U48" i="2"/>
  <c r="T48" i="2"/>
  <c r="S48" i="2"/>
  <c r="R48" i="2"/>
  <c r="Q48" i="2"/>
  <c r="P48" i="2"/>
  <c r="O48" i="2"/>
  <c r="N48" i="2"/>
  <c r="V47" i="2"/>
  <c r="U47" i="2"/>
  <c r="T47" i="2"/>
  <c r="S47" i="2"/>
  <c r="R47" i="2"/>
  <c r="Q47" i="2"/>
  <c r="P47" i="2"/>
  <c r="O47" i="2"/>
  <c r="N47" i="2"/>
  <c r="V46" i="2"/>
  <c r="U46" i="2"/>
  <c r="T46" i="2"/>
  <c r="S46" i="2"/>
  <c r="R46" i="2"/>
  <c r="Q46" i="2"/>
  <c r="P46" i="2"/>
  <c r="O46" i="2"/>
  <c r="N46" i="2"/>
  <c r="V45" i="2"/>
  <c r="U45" i="2"/>
  <c r="T45" i="2"/>
  <c r="S45" i="2"/>
  <c r="R45" i="2"/>
  <c r="Q45" i="2"/>
  <c r="P45" i="2"/>
  <c r="O45" i="2"/>
  <c r="N45" i="2"/>
  <c r="V44" i="2"/>
  <c r="U44" i="2"/>
  <c r="T44" i="2"/>
  <c r="S44" i="2"/>
  <c r="R44" i="2"/>
  <c r="Q44" i="2"/>
  <c r="P44" i="2"/>
  <c r="O44" i="2"/>
  <c r="N44" i="2"/>
  <c r="V43" i="2"/>
  <c r="U43" i="2"/>
  <c r="T43" i="2"/>
  <c r="S43" i="2"/>
  <c r="R43" i="2"/>
  <c r="Q43" i="2"/>
  <c r="P43" i="2"/>
  <c r="O43" i="2"/>
  <c r="N43" i="2"/>
  <c r="V42" i="2"/>
  <c r="U42" i="2"/>
  <c r="T42" i="2"/>
  <c r="S42" i="2"/>
  <c r="R42" i="2"/>
  <c r="Q42" i="2"/>
  <c r="P42" i="2"/>
  <c r="O42" i="2"/>
  <c r="N42" i="2"/>
  <c r="V41" i="2"/>
  <c r="U41" i="2"/>
  <c r="T41" i="2"/>
  <c r="S41" i="2"/>
  <c r="R41" i="2"/>
  <c r="Q41" i="2"/>
  <c r="P41" i="2"/>
  <c r="O41" i="2"/>
  <c r="N41" i="2"/>
  <c r="V40" i="2"/>
  <c r="U40" i="2"/>
  <c r="T40" i="2"/>
  <c r="S40" i="2"/>
  <c r="R40" i="2"/>
  <c r="Q40" i="2"/>
  <c r="P40" i="2"/>
  <c r="O40" i="2"/>
  <c r="N40" i="2"/>
  <c r="V39" i="2"/>
  <c r="U39" i="2"/>
  <c r="T39" i="2"/>
  <c r="S39" i="2"/>
  <c r="R39" i="2"/>
  <c r="Q39" i="2"/>
  <c r="P39" i="2"/>
  <c r="O39" i="2"/>
  <c r="N39" i="2"/>
  <c r="V38" i="2"/>
  <c r="U38" i="2"/>
  <c r="T38" i="2"/>
  <c r="S38" i="2"/>
  <c r="R38" i="2"/>
  <c r="Q38" i="2"/>
  <c r="P38" i="2"/>
  <c r="O38" i="2"/>
  <c r="N38" i="2"/>
  <c r="V37" i="2"/>
  <c r="U37" i="2"/>
  <c r="T37" i="2"/>
  <c r="S37" i="2"/>
  <c r="R37" i="2"/>
  <c r="Q37" i="2"/>
  <c r="P37" i="2"/>
  <c r="O37" i="2"/>
  <c r="N37" i="2"/>
  <c r="V36" i="2"/>
  <c r="U36" i="2"/>
  <c r="T36" i="2"/>
  <c r="S36" i="2"/>
  <c r="R36" i="2"/>
  <c r="Q36" i="2"/>
  <c r="P36" i="2"/>
  <c r="O36" i="2"/>
  <c r="N36" i="2"/>
  <c r="V35" i="2"/>
  <c r="U35" i="2"/>
  <c r="T35" i="2"/>
  <c r="S35" i="2"/>
  <c r="R35" i="2"/>
  <c r="Q35" i="2"/>
  <c r="P35" i="2"/>
  <c r="O35" i="2"/>
  <c r="N35" i="2"/>
  <c r="V34" i="2"/>
  <c r="U34" i="2"/>
  <c r="T34" i="2"/>
  <c r="S34" i="2"/>
  <c r="R34" i="2"/>
  <c r="Q34" i="2"/>
  <c r="P34" i="2"/>
  <c r="O34" i="2"/>
  <c r="N34" i="2"/>
  <c r="V33" i="2"/>
  <c r="U33" i="2"/>
  <c r="T33" i="2"/>
  <c r="S33" i="2"/>
  <c r="R33" i="2"/>
  <c r="Q33" i="2"/>
  <c r="P33" i="2"/>
  <c r="O33" i="2"/>
  <c r="N33" i="2"/>
  <c r="V32" i="2"/>
  <c r="U32" i="2"/>
  <c r="T32" i="2"/>
  <c r="S32" i="2"/>
  <c r="R32" i="2"/>
  <c r="Q32" i="2"/>
  <c r="P32" i="2"/>
  <c r="O32" i="2"/>
  <c r="N32" i="2"/>
  <c r="V31" i="2"/>
  <c r="U31" i="2"/>
  <c r="T31" i="2"/>
  <c r="S31" i="2"/>
  <c r="R31" i="2"/>
  <c r="Q31" i="2"/>
  <c r="P31" i="2"/>
  <c r="O31" i="2"/>
  <c r="N31" i="2"/>
  <c r="V30" i="2"/>
  <c r="U30" i="2"/>
  <c r="T30" i="2"/>
  <c r="S30" i="2"/>
  <c r="R30" i="2"/>
  <c r="Q30" i="2"/>
  <c r="P30" i="2"/>
  <c r="O30" i="2"/>
  <c r="N30" i="2"/>
  <c r="V29" i="2"/>
  <c r="U29" i="2"/>
  <c r="T29" i="2"/>
  <c r="S29" i="2"/>
  <c r="R29" i="2"/>
  <c r="Q29" i="2"/>
  <c r="P29" i="2"/>
  <c r="O29" i="2"/>
  <c r="N29" i="2"/>
  <c r="V28" i="2"/>
  <c r="U28" i="2"/>
  <c r="T28" i="2"/>
  <c r="S28" i="2"/>
  <c r="R28" i="2"/>
  <c r="Q28" i="2"/>
  <c r="P28" i="2"/>
  <c r="O28" i="2"/>
  <c r="N28" i="2"/>
  <c r="V27" i="2"/>
  <c r="U27" i="2"/>
  <c r="T27" i="2"/>
  <c r="S27" i="2"/>
  <c r="R27" i="2"/>
  <c r="Q27" i="2"/>
  <c r="P27" i="2"/>
  <c r="O27" i="2"/>
  <c r="N27" i="2"/>
  <c r="V26" i="2"/>
  <c r="U26" i="2"/>
  <c r="T26" i="2"/>
  <c r="S26" i="2"/>
  <c r="R26" i="2"/>
  <c r="Q26" i="2"/>
  <c r="P26" i="2"/>
  <c r="O26" i="2"/>
  <c r="N26" i="2"/>
  <c r="V25" i="2"/>
  <c r="U25" i="2"/>
  <c r="T25" i="2"/>
  <c r="S25" i="2"/>
  <c r="R25" i="2"/>
  <c r="Q25" i="2"/>
  <c r="P25" i="2"/>
  <c r="O25" i="2"/>
  <c r="N25" i="2"/>
  <c r="V24" i="2"/>
  <c r="U24" i="2"/>
  <c r="T24" i="2"/>
  <c r="S24" i="2"/>
  <c r="R24" i="2"/>
  <c r="Q24" i="2"/>
  <c r="P24" i="2"/>
  <c r="O24" i="2"/>
  <c r="N24" i="2"/>
  <c r="V23" i="2"/>
  <c r="U23" i="2"/>
  <c r="T23" i="2"/>
  <c r="S23" i="2"/>
  <c r="R23" i="2"/>
  <c r="Q23" i="2"/>
  <c r="P23" i="2"/>
  <c r="O23" i="2"/>
  <c r="N23" i="2"/>
  <c r="V22" i="2"/>
  <c r="U22" i="2"/>
  <c r="T22" i="2"/>
  <c r="S22" i="2"/>
  <c r="R22" i="2"/>
  <c r="Q22" i="2"/>
  <c r="P22" i="2"/>
  <c r="O22" i="2"/>
  <c r="N22" i="2"/>
  <c r="V21" i="2"/>
  <c r="U21" i="2"/>
  <c r="T21" i="2"/>
  <c r="S21" i="2"/>
  <c r="R21" i="2"/>
  <c r="Q21" i="2"/>
  <c r="P21" i="2"/>
  <c r="O21" i="2"/>
  <c r="N21" i="2"/>
  <c r="V20" i="2"/>
  <c r="U20" i="2"/>
  <c r="T20" i="2"/>
  <c r="S20" i="2"/>
  <c r="R20" i="2"/>
  <c r="Q20" i="2"/>
  <c r="P20" i="2"/>
  <c r="O20" i="2"/>
  <c r="N20" i="2"/>
  <c r="V19" i="2"/>
  <c r="U19" i="2"/>
  <c r="T19" i="2"/>
  <c r="S19" i="2"/>
  <c r="R19" i="2"/>
  <c r="Q19" i="2"/>
  <c r="P19" i="2"/>
  <c r="O19" i="2"/>
  <c r="N19" i="2"/>
  <c r="V18" i="2"/>
  <c r="U18" i="2"/>
  <c r="T18" i="2"/>
  <c r="S18" i="2"/>
  <c r="R18" i="2"/>
  <c r="Q18" i="2"/>
  <c r="P18" i="2"/>
  <c r="O18" i="2"/>
  <c r="N18" i="2"/>
  <c r="V17" i="2"/>
  <c r="U17" i="2"/>
  <c r="T17" i="2"/>
  <c r="S17" i="2"/>
  <c r="R17" i="2"/>
  <c r="Q17" i="2"/>
  <c r="P17" i="2"/>
  <c r="O17" i="2"/>
  <c r="N17" i="2"/>
  <c r="V16" i="2"/>
  <c r="U16" i="2"/>
  <c r="T16" i="2"/>
  <c r="S16" i="2"/>
  <c r="R16" i="2"/>
  <c r="Q16" i="2"/>
  <c r="P16" i="2"/>
  <c r="O16" i="2"/>
  <c r="N16" i="2"/>
  <c r="V15" i="2"/>
  <c r="U15" i="2"/>
  <c r="T15" i="2"/>
  <c r="S15" i="2"/>
  <c r="R15" i="2"/>
  <c r="Q15" i="2"/>
  <c r="P15" i="2"/>
  <c r="O15" i="2"/>
  <c r="N15" i="2"/>
  <c r="V14" i="2"/>
  <c r="U14" i="2"/>
  <c r="T14" i="2"/>
  <c r="S14" i="2"/>
  <c r="R14" i="2"/>
  <c r="Q14" i="2"/>
  <c r="P14" i="2"/>
  <c r="O14" i="2"/>
  <c r="N14" i="2"/>
  <c r="V13" i="2"/>
  <c r="U13" i="2"/>
  <c r="T13" i="2"/>
  <c r="S13" i="2"/>
  <c r="R13" i="2"/>
  <c r="Q13" i="2"/>
  <c r="P13" i="2"/>
  <c r="O13" i="2"/>
  <c r="N13" i="2"/>
  <c r="V12" i="2"/>
  <c r="U12" i="2"/>
  <c r="T12" i="2"/>
  <c r="S12" i="2"/>
  <c r="R12" i="2"/>
  <c r="Q12" i="2"/>
  <c r="P12" i="2"/>
  <c r="O12" i="2"/>
  <c r="N12" i="2"/>
  <c r="V11" i="2"/>
  <c r="U11" i="2"/>
  <c r="T11" i="2"/>
  <c r="S11" i="2"/>
  <c r="R11" i="2"/>
  <c r="Q11" i="2"/>
  <c r="P11" i="2"/>
  <c r="O11" i="2"/>
  <c r="N11" i="2"/>
  <c r="V10" i="2"/>
  <c r="U10" i="2"/>
  <c r="T10" i="2"/>
  <c r="S10" i="2"/>
  <c r="R10" i="2"/>
  <c r="Q10" i="2"/>
  <c r="P10" i="2"/>
  <c r="O10" i="2"/>
  <c r="N10" i="2"/>
  <c r="V9" i="2"/>
  <c r="U9" i="2"/>
  <c r="T9" i="2"/>
  <c r="S9" i="2"/>
  <c r="R9" i="2"/>
  <c r="Q9" i="2"/>
  <c r="P9" i="2"/>
  <c r="O9" i="2"/>
  <c r="N9" i="2"/>
  <c r="V8" i="2"/>
  <c r="U8" i="2"/>
  <c r="T8" i="2"/>
  <c r="S8" i="2"/>
  <c r="R8" i="2"/>
  <c r="Q8" i="2"/>
  <c r="P8" i="2"/>
  <c r="O8" i="2"/>
  <c r="N8" i="2"/>
  <c r="V7" i="2"/>
  <c r="U7" i="2"/>
  <c r="T7" i="2"/>
  <c r="S7" i="2"/>
  <c r="R7" i="2"/>
  <c r="Q7" i="2"/>
  <c r="P7" i="2"/>
  <c r="O7" i="2"/>
  <c r="N7" i="2"/>
  <c r="V6" i="2"/>
  <c r="U6" i="2"/>
  <c r="T6" i="2"/>
  <c r="S6" i="2"/>
  <c r="R6" i="2"/>
  <c r="Q6" i="2"/>
  <c r="P6" i="2"/>
  <c r="O6" i="2"/>
  <c r="N6" i="2"/>
  <c r="V5" i="2"/>
  <c r="U5" i="2"/>
  <c r="T5" i="2"/>
  <c r="S5" i="2"/>
  <c r="R5" i="2"/>
  <c r="Q5" i="2"/>
  <c r="P5" i="2"/>
  <c r="O5" i="2"/>
  <c r="N5" i="2"/>
  <c r="V4" i="2"/>
  <c r="U4" i="2"/>
  <c r="T4" i="2"/>
  <c r="S4" i="2"/>
  <c r="R4" i="2"/>
  <c r="Q4" i="2"/>
  <c r="P4" i="2"/>
  <c r="O4" i="2"/>
  <c r="N4" i="2"/>
  <c r="V3" i="2"/>
  <c r="U3" i="2"/>
  <c r="T3" i="2"/>
  <c r="S3" i="2"/>
  <c r="R3" i="2"/>
  <c r="Q3" i="2"/>
  <c r="P3" i="2"/>
  <c r="O3" i="2"/>
  <c r="N3" i="2"/>
  <c r="V2" i="2"/>
  <c r="U2" i="2"/>
  <c r="T2" i="2"/>
  <c r="S2" i="2"/>
  <c r="R2" i="2"/>
  <c r="Q2" i="2"/>
  <c r="P2" i="2"/>
  <c r="O2" i="2"/>
  <c r="N2" i="2"/>
  <c r="V6" i="7"/>
  <c r="R7" i="7"/>
  <c r="T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971223-92D0-4696-BCCE-B39CCA226EB8}" keepAlive="1" name="Query - AmazonSales" description="Connection to the 'AmazonSales' query in the workbook." type="5" refreshedVersion="8" background="1" saveData="1">
    <dbPr connection="Provider=Microsoft.Mashup.OleDb.1;Data Source=$Workbook$;Location=AmazonSales;Extended Properties=&quot;&quot;" command="SELECT * FROM [AmazonSales]"/>
  </connection>
  <connection id="2" xr16:uid="{9CF88BB7-1BCF-45A1-BC6D-66D5FCAE1357}" keepAlive="1" name="Query - CustomerMaster" description="Connection to the 'CustomerMaster' query in the workbook." type="5" refreshedVersion="8" background="1" saveData="1">
    <dbPr connection="Provider=Microsoft.Mashup.OleDb.1;Data Source=$Workbook$;Location=CustomerMaster;Extended Properties=&quot;&quot;" command="SELECT * FROM [CustomerMaster]"/>
  </connection>
  <connection id="3" xr16:uid="{2839E3A7-D9F8-4C16-A8C5-C8FEA745F6ED}" keepAlive="1" name="Query - ProductMaster" description="Connection to the 'ProductMaster' query in the workbook." type="5" refreshedVersion="8" background="1" saveData="1">
    <dbPr connection="Provider=Microsoft.Mashup.OleDb.1;Data Source=$Workbook$;Location=ProductMaster;Extended Properties=&quot;&quot;" command="SELECT * FROM [ProductMaster]"/>
  </connection>
  <connection id="4" xr16:uid="{2EDD85C5-13F3-461F-8189-C154C324B9D2}" keepAlive="1" name="Query - RegionGoals" description="Connection to the 'RegionGoals' query in the workbook." type="5" refreshedVersion="8" background="1" saveData="1">
    <dbPr connection="Provider=Microsoft.Mashup.OleDb.1;Data Source=$Workbook$;Location=RegionGoals;Extended Properties=&quot;&quot;" command="SELECT * FROM [RegionGoals]"/>
  </connection>
</connections>
</file>

<file path=xl/sharedStrings.xml><?xml version="1.0" encoding="utf-8"?>
<sst xmlns="http://schemas.openxmlformats.org/spreadsheetml/2006/main" count="1190" uniqueCount="379">
  <si>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</si>
  <si>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</si>
  <si>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</si>
  <si>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</si>
  <si>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</si>
  <si>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</si>
  <si>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</si>
  <si>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</si>
  <si>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</si>
  <si>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</si>
  <si>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</si>
  <si>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</si>
  <si>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</si>
  <si>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</si>
  <si>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</si>
  <si>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</si>
  <si>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</si>
  <si>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</si>
  <si>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</si>
  <si>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</si>
  <si>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</si>
  <si>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</si>
  <si>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</si>
  <si>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</si>
  <si>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</si>
  <si>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</si>
  <si>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</si>
  <si>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</si>
  <si>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</si>
  <si>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</si>
  <si>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</si>
  <si>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</si>
  <si>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</si>
  <si>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</si>
  <si>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</si>
  <si>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</si>
  <si>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</si>
  <si>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</si>
  <si>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</si>
  <si>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</si>
  <si>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</si>
  <si>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</si>
  <si>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</si>
  <si>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</si>
  <si>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</si>
  <si>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</si>
  <si>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</si>
  <si>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</si>
  <si>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</si>
  <si>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</si>
  <si>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</si>
  <si>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</si>
  <si>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</si>
  <si>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</si>
  <si>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</si>
  <si>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</si>
  <si>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</si>
  <si>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</si>
  <si>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</si>
  <si>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</si>
  <si>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</si>
  <si>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</si>
  <si>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</si>
  <si>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</si>
  <si>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</si>
  <si>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</si>
  <si>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</si>
  <si>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</si>
  <si>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</si>
  <si>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</si>
  <si>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</si>
  <si>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</si>
  <si>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</si>
  <si>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</si>
  <si>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</si>
  <si>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</si>
  <si>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</si>
  <si>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</si>
  <si>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</si>
  <si>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</si>
  <si>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</si>
  <si>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</si>
  <si>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</si>
  <si>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</si>
  <si>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</si>
  <si>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</si>
  <si>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</si>
  <si>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</si>
  <si>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</si>
  <si>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</si>
  <si>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</si>
  <si>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</si>
  <si>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</si>
  <si>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</si>
  <si>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</si>
  <si>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</si>
  <si>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</si>
  <si>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</si>
  <si>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</si>
  <si>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</si>
  <si>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</si>
  <si>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</si>
  <si>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</si>
  <si>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</si>
  <si>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</si>
  <si>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</si>
  <si>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</si>
  <si>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</si>
  <si>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</si>
  <si>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</si>
  <si>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</si>
  <si>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</si>
  <si>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</si>
  <si>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</si>
  <si>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</si>
  <si>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</si>
  <si>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</si>
  <si>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</si>
  <si>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</si>
  <si>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</si>
  <si>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</si>
  <si>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</si>
  <si>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</si>
  <si>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</si>
  <si>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</si>
  <si>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</si>
  <si>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</si>
  <si>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</si>
  <si>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</si>
  <si>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</si>
  <si>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</si>
  <si>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</si>
  <si>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</si>
  <si>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</si>
  <si>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</si>
  <si>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</si>
  <si>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</si>
  <si>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</si>
  <si>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</si>
  <si>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</si>
  <si>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</si>
  <si>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</si>
  <si>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</si>
  <si>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</si>
  <si>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</si>
  <si>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</si>
  <si>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</si>
  <si>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</si>
  <si>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</si>
  <si>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</si>
  <si>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</si>
  <si>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</si>
  <si>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</si>
  <si>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</si>
  <si>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</si>
  <si>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</si>
  <si>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</si>
  <si>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</si>
  <si>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</si>
  <si>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</si>
  <si>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</si>
  <si>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</si>
  <si>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</si>
  <si>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</si>
  <si>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</si>
  <si>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</si>
  <si>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</si>
  <si>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</si>
  <si>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</si>
  <si>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</si>
  <si>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</si>
  <si>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</si>
  <si>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</si>
  <si>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</si>
  <si>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</si>
  <si>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</si>
  <si>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</si>
  <si>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</si>
  <si>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</si>
  <si>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</si>
  <si>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</si>
  <si>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</si>
  <si>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</si>
  <si>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</si>
  <si>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</si>
  <si>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</si>
  <si>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</si>
  <si>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</si>
  <si>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</si>
  <si>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</si>
  <si>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</si>
  <si>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</si>
  <si>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</si>
  <si>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</si>
  <si>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</si>
  <si>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Customer Name</t>
  </si>
  <si>
    <t>State</t>
  </si>
  <si>
    <t>City</t>
  </si>
  <si>
    <t>Customer Type</t>
  </si>
  <si>
    <t>James Miller</t>
  </si>
  <si>
    <t>New York</t>
  </si>
  <si>
    <t>Business</t>
  </si>
  <si>
    <t>CUST002</t>
  </si>
  <si>
    <t>Emily Johnson</t>
  </si>
  <si>
    <t>Washington</t>
  </si>
  <si>
    <t>Seattle</t>
  </si>
  <si>
    <t>Prime</t>
  </si>
  <si>
    <t>Ethan Davis</t>
  </si>
  <si>
    <t>Texas</t>
  </si>
  <si>
    <t>Austin</t>
  </si>
  <si>
    <t>Noah Wilson</t>
  </si>
  <si>
    <t>California</t>
  </si>
  <si>
    <t>San Francisco</t>
  </si>
  <si>
    <t>CUST005</t>
  </si>
  <si>
    <t>Olivia Martinez</t>
  </si>
  <si>
    <t>Ava Robinson</t>
  </si>
  <si>
    <t>Illinois</t>
  </si>
  <si>
    <t>Chicago</t>
  </si>
  <si>
    <t>Liam Walker</t>
  </si>
  <si>
    <t>Harper Young</t>
  </si>
  <si>
    <t>Dallas</t>
  </si>
  <si>
    <t>Jackson Allen</t>
  </si>
  <si>
    <t>CUST010</t>
  </si>
  <si>
    <t>Charlotte Harris</t>
  </si>
  <si>
    <t>Mason Hall</t>
  </si>
  <si>
    <t>Florida</t>
  </si>
  <si>
    <t>Miami</t>
  </si>
  <si>
    <t>CUST012</t>
  </si>
  <si>
    <t>Arizona</t>
  </si>
  <si>
    <t>Phoenix</t>
  </si>
  <si>
    <t>Individual</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</si>
  <si>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</si>
  <si>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</si>
  <si>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</si>
  <si>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</si>
  <si>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</si>
  <si>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</si>
  <si>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</si>
  <si>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</si>
  <si>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</si>
  <si>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</si>
  <si>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</si>
  <si>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</si>
  <si>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</si>
  <si>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</si>
  <si>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</si>
  <si>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</si>
  <si>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</si>
  <si>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</si>
  <si>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</si>
  <si>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</si>
  <si>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</si>
  <si>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</si>
  <si>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</si>
  <si>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</si>
  <si>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</si>
  <si>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</si>
  <si>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</si>
  <si>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</si>
  <si>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</si>
  <si>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</si>
  <si>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</si>
  <si>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</si>
  <si>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</si>
  <si>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</si>
  <si>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</si>
  <si>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</si>
  <si>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</si>
  <si>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</si>
  <si>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</si>
  <si>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</si>
  <si>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</si>
  <si>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</si>
  <si>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</si>
  <si>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</si>
  <si>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</si>
  <si>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</si>
  <si>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</si>
  <si>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</si>
  <si>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</si>
  <si>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</si>
  <si>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</si>
  <si>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</si>
  <si>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</si>
  <si>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</si>
  <si>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</si>
  <si>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</si>
  <si>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</si>
  <si>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</si>
  <si>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</si>
  <si>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</si>
  <si>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</si>
  <si>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</si>
  <si>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</si>
  <si>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</si>
  <si>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</si>
  <si>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</si>
  <si>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</si>
  <si>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</si>
  <si>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</si>
  <si>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</si>
  <si>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</si>
  <si>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</si>
  <si>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</si>
  <si>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</si>
  <si>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</si>
  <si>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</si>
  <si>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</si>
  <si>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</si>
  <si>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</si>
  <si>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</si>
  <si>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Status</t>
  </si>
  <si>
    <t>Column1</t>
  </si>
  <si>
    <t>Product_Category</t>
  </si>
  <si>
    <t>Row Labels</t>
  </si>
  <si>
    <t>Grand Total</t>
  </si>
  <si>
    <t>Column Labels</t>
  </si>
  <si>
    <t>Sum of Total Amount</t>
  </si>
  <si>
    <t>Show Total Sales Amount by Region and Product Category</t>
  </si>
  <si>
    <t>Orders_count</t>
  </si>
  <si>
    <t>Delivery_status</t>
  </si>
  <si>
    <t>Count of Orders by Delivery Status</t>
  </si>
  <si>
    <t>Average Delivery Time = Delivery Date – Order Date</t>
  </si>
  <si>
    <t>Add filter for Payment Method and Product Category</t>
  </si>
  <si>
    <t>Customer_name</t>
  </si>
  <si>
    <t>Delivery_Performance</t>
  </si>
  <si>
    <t>delivery_time(days)</t>
  </si>
  <si>
    <t>Cancel_orders</t>
  </si>
  <si>
    <t>Cancellation_flag</t>
  </si>
  <si>
    <t>Cancellation_rate</t>
  </si>
  <si>
    <t>Create a field: Cancellation Rate by Region (Cancelled Orders / Total Orders)</t>
  </si>
  <si>
    <t>delivered_sales</t>
  </si>
  <si>
    <t>Sum of Effective_sales</t>
  </si>
  <si>
    <t xml:space="preserve">Add Calculated Field in Pivot: Effective Sales = Sales Amount for Delivered Orders only </t>
  </si>
  <si>
    <t>Total revenue</t>
  </si>
  <si>
    <t>Total_deliver</t>
  </si>
  <si>
    <t>%of Fast_Deliveries</t>
  </si>
  <si>
    <t>KPI'S</t>
  </si>
  <si>
    <t>Average of delivery_time(days)</t>
  </si>
  <si>
    <t>Jan</t>
  </si>
  <si>
    <t>Feb</t>
  </si>
  <si>
    <t>May</t>
  </si>
  <si>
    <t>Jun</t>
  </si>
  <si>
    <t>Jul</t>
  </si>
  <si>
    <t>Sep</t>
  </si>
  <si>
    <t>Oct</t>
  </si>
  <si>
    <t>Nov</t>
  </si>
  <si>
    <t>Dec</t>
  </si>
  <si>
    <t>Mar</t>
  </si>
  <si>
    <t>Apr</t>
  </si>
  <si>
    <t>Aug</t>
  </si>
  <si>
    <t>Average of Total Amount</t>
  </si>
  <si>
    <t>● What is the most successful product category in terms of revenue?</t>
  </si>
  <si>
    <t xml:space="preserve">     Based on the pivot table analysis and total revenue summary,Electronics is the most succesfull category.</t>
  </si>
  <si>
    <t xml:space="preserve">     Electronics highest revenue contributor.</t>
  </si>
  <si>
    <r>
      <rPr>
        <b/>
        <sz val="11"/>
        <color theme="1"/>
        <rFont val="Calibri"/>
        <family val="2"/>
        <scheme val="minor"/>
      </rPr>
      <t>● Which region has the highest order cancellation rate?</t>
    </r>
    <r>
      <rPr>
        <sz val="11"/>
        <color theme="1"/>
        <rFont val="Calibri"/>
        <family val="2"/>
        <scheme val="minor"/>
      </rPr>
      <t xml:space="preserve"> </t>
    </r>
  </si>
  <si>
    <t xml:space="preserve">     It consistentoly generate the highest revenue across multiple region, especially in north and west regions.</t>
  </si>
  <si>
    <t xml:space="preserve">     From the cancellation rate pivot:</t>
  </si>
  <si>
    <t xml:space="preserve">      North region -&gt; 40% cancellation rate highest </t>
  </si>
  <si>
    <t xml:space="preserve">     This mean the northern region face the highest order failure compare other regions like east,south,west and central.</t>
  </si>
  <si>
    <t>● How many orders were delivered within 2 days?</t>
  </si>
  <si>
    <t xml:space="preserve">     Using the delivery performance column and pivot count:</t>
  </si>
  <si>
    <t xml:space="preserve">    So 11 out of 34 delivered orders were delivered fast.</t>
  </si>
  <si>
    <t xml:space="preserve">    (delivery time &lt;= 2 days)</t>
  </si>
  <si>
    <t xml:space="preserve">     Thus the fast deliver = 11 orders</t>
  </si>
  <si>
    <t xml:space="preserve">●  What recommendations would you give to improve delivery performance? </t>
  </si>
  <si>
    <t xml:space="preserve">     Based  on the analysis :</t>
  </si>
  <si>
    <t xml:space="preserve">     Improve logistics in north and west,these region have high transit times.</t>
  </si>
  <si>
    <t xml:space="preserve">     Work with better fulfillment partners.</t>
  </si>
  <si>
    <t xml:space="preserve">     FedEx &amp; DHL show higher cancellation and slow deliveries.</t>
  </si>
  <si>
    <t xml:space="preserve">     Shifting more orders to amazon logistics for UPS can improve speed.</t>
  </si>
  <si>
    <t xml:space="preserve">     Increase warehouse stock in hike demand categories</t>
  </si>
  <si>
    <t xml:space="preserve">     Electronic and home product need faster dispatch capabilities </t>
  </si>
  <si>
    <t xml:space="preserve">     Reduce delivery time variability</t>
  </si>
  <si>
    <t xml:space="preserve">     Most slow deliveries are 4 to 7 days.</t>
  </si>
  <si>
    <t xml:space="preserve">     Setting a target SLA of 2-3 days can improve customer satisfaction.</t>
  </si>
  <si>
    <t xml:space="preserve">     Automate customer communication</t>
  </si>
  <si>
    <t xml:space="preserve">     Real time delivery update can reduce cancellation due to customer impatience</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</si>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</sst>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5C]#,##0.00"/>
  </numFmts>
  <fonts count="4" x14ac:knownFonts="1">
    <font>
      <sz val="11"/>
      <color theme="1"/>
      <name val="Calibri"/>
      <family val="2"/>
      <scheme val="minor"/>
    </font>
    <font>
      <b/>
      <sz val="11"/>
      <color theme="1"/>
      <name val="Calibri"/>
      <family val="2"/>
      <scheme val="minor"/>
    </font>
    <font>
      <sz val="11"/>
      <color theme="1"/>
      <name val="Cooper Black"/>
      <family val="1"/>
    </font>
    <font>
      <b/>
      <sz val="22"/>
      <color theme="1"/>
      <name val="Calibri"/>
      <family val="2"/>
      <scheme val="minor"/>
    </font>
  </fonts>
  <fills count="3">
    <fill>
      <patternFill patternType="none"/>
    </fill>
    <fill>
      <patternFill patternType="gray125"/>
    </fill>
    <fill>
      <patternFill patternType="solid">
        <fgColor rgb="FF31869B"/>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7">
    <xf numFmtId="0" fontId="0" fillId="0" borderId="0" xfId="0"/>
    <xf numFmtId="14" fontId="0" fillId="0" borderId="0" xfId="0" applyNumberFormat="1"/>
    <xf numFmtId="0" fontId="0" fillId="0" borderId="2" xfId="0" applyBorder="1"/>
    <xf numFmtId="0" fontId="0" fillId="0" borderId="4" xfId="0" applyBorder="1"/>
    <xf numFmtId="0" fontId="0" fillId="0" borderId="5" xfId="0" applyBorder="1"/>
    <xf numFmtId="0" fontId="0" fillId="0" borderId="0" xfId="0" pivotButton="1"/>
    <xf numFmtId="0" fontId="0" fillId="0" borderId="6" xfId="0" applyBorder="1"/>
    <xf numFmtId="0" fontId="0" fillId="0" borderId="0" xfId="0" applyAlignment="1">
      <alignment horizontal="left"/>
    </xf>
    <xf numFmtId="0" fontId="0" fillId="0" borderId="7" xfId="0" applyBorder="1"/>
    <xf numFmtId="0" fontId="0" fillId="0" borderId="8" xfId="0" applyBorder="1"/>
    <xf numFmtId="0" fontId="0" fillId="0" borderId="9" xfId="0" applyBorder="1"/>
    <xf numFmtId="0" fontId="0" fillId="0" borderId="1" xfId="0" pivotButton="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 xfId="0" applyBorder="1" applyAlignment="1">
      <alignment horizontal="left"/>
    </xf>
    <xf numFmtId="0" fontId="0" fillId="0" borderId="1" xfId="0" applyBorder="1"/>
    <xf numFmtId="0" fontId="0" fillId="0" borderId="3" xfId="0" applyBorder="1"/>
    <xf numFmtId="0" fontId="0" fillId="0" borderId="13" xfId="0" applyBorder="1"/>
    <xf numFmtId="0" fontId="0" fillId="0" borderId="14" xfId="0" applyBorder="1"/>
    <xf numFmtId="0" fontId="0" fillId="0" borderId="15" xfId="0" applyBorder="1"/>
    <xf numFmtId="0" fontId="1" fillId="0" borderId="5" xfId="0" applyFont="1" applyBorder="1"/>
    <xf numFmtId="0" fontId="1" fillId="0" borderId="0" xfId="0" applyFont="1"/>
    <xf numFmtId="10" fontId="0" fillId="0" borderId="10" xfId="0" applyNumberFormat="1" applyBorder="1"/>
    <xf numFmtId="10" fontId="0" fillId="0" borderId="11" xfId="0" applyNumberFormat="1" applyBorder="1"/>
    <xf numFmtId="10" fontId="0" fillId="0" borderId="12" xfId="0" applyNumberFormat="1" applyBorder="1"/>
    <xf numFmtId="0" fontId="1" fillId="0" borderId="2" xfId="0" applyFont="1" applyBorder="1"/>
    <xf numFmtId="0" fontId="0" fillId="2" borderId="0" xfId="0" applyFill="1"/>
    <xf numFmtId="10" fontId="0" fillId="0" borderId="1" xfId="0" applyNumberFormat="1" applyBorder="1"/>
    <xf numFmtId="2" fontId="0" fillId="0" borderId="0" xfId="0" applyNumberFormat="1"/>
    <xf numFmtId="164" fontId="0" fillId="0" borderId="0" xfId="0" applyNumberFormat="1"/>
    <xf numFmtId="164" fontId="0" fillId="0" borderId="2" xfId="0" applyNumberFormat="1" applyBorder="1"/>
    <xf numFmtId="164" fontId="0" fillId="0" borderId="3" xfId="0" applyNumberFormat="1" applyBorder="1"/>
    <xf numFmtId="164" fontId="0" fillId="0" borderId="4" xfId="0" applyNumberFormat="1" applyBorder="1"/>
    <xf numFmtId="164" fontId="0" fillId="0" borderId="5" xfId="0" applyNumberFormat="1" applyBorder="1"/>
    <xf numFmtId="164" fontId="0" fillId="0" borderId="6" xfId="0" applyNumberFormat="1" applyBorder="1"/>
    <xf numFmtId="164" fontId="0" fillId="0" borderId="7" xfId="0" applyNumberFormat="1" applyBorder="1"/>
    <xf numFmtId="164" fontId="0" fillId="0" borderId="8" xfId="0" applyNumberFormat="1" applyBorder="1"/>
    <xf numFmtId="164" fontId="0" fillId="0" borderId="9" xfId="0" applyNumberFormat="1" applyBorder="1"/>
    <xf numFmtId="0" fontId="0" fillId="0" borderId="10" xfId="0" applyBorder="1"/>
    <xf numFmtId="0" fontId="0" fillId="0" borderId="12" xfId="0" applyBorder="1"/>
    <xf numFmtId="0" fontId="0" fillId="0" borderId="11" xfId="0" applyBorder="1"/>
    <xf numFmtId="10" fontId="0" fillId="0" borderId="0" xfId="0" applyNumberFormat="1"/>
    <xf numFmtId="164" fontId="0" fillId="0" borderId="16" xfId="0" applyNumberFormat="1" applyBorder="1"/>
    <xf numFmtId="0" fontId="0" fillId="0" borderId="16" xfId="0" applyBorder="1"/>
    <xf numFmtId="0" fontId="1" fillId="0" borderId="2" xfId="0" applyFont="1" applyBorder="1" applyAlignment="1">
      <alignment horizontal="center"/>
    </xf>
    <xf numFmtId="0" fontId="1" fillId="0" borderId="3" xfId="0" applyFont="1" applyBorder="1" applyAlignment="1">
      <alignment horizontal="center"/>
    </xf>
    <xf numFmtId="0" fontId="1" fillId="0" borderId="5" xfId="0" applyFont="1" applyBorder="1" applyAlignment="1">
      <alignment horizontal="center"/>
    </xf>
    <xf numFmtId="0" fontId="1" fillId="0" borderId="0" xfId="0" applyFont="1" applyAlignment="1">
      <alignment horizontal="center"/>
    </xf>
    <xf numFmtId="0" fontId="1" fillId="0" borderId="6" xfId="0" applyFont="1" applyBorder="1" applyAlignment="1">
      <alignment horizontal="center"/>
    </xf>
    <xf numFmtId="0" fontId="2" fillId="0" borderId="8" xfId="0" applyFont="1" applyBorder="1" applyAlignment="1">
      <alignment horizontal="center"/>
    </xf>
    <xf numFmtId="0" fontId="3"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cellXfs>
  <cellStyles count="1">
    <cellStyle name="Normal" xfId="0" builtinId="0"/>
  </cellStyles>
  <dxfs count="8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numFmt numFmtId="164" formatCode="[$$-45C]#,##0.00"/>
    </dxf>
    <dxf>
      <numFmt numFmtId="165" formatCode="_-[$$-409]* #,##0.00_ ;_-[$$-409]* \-#,##0.00\ ;_-[$$-409]* &quot;-&quot;??_ ;_-@_ "/>
    </dxf>
    <dxf>
      <numFmt numFmtId="164" formatCode="[$$-45C]#,##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45C]#,##0.00"/>
    </dxf>
    <dxf>
      <numFmt numFmtId="166"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45C]#,##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numFmt numFmtId="164" formatCode="[$$-45C]#,##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font>
    </dxf>
  </dxfs>
  <tableStyles count="1" defaultTableStyle="TableStyleMedium2" defaultPivotStyle="PivotStyleLight16">
    <tableStyle name="Slicer Style 1" pivot="0" table="0" count="7" xr9:uid="{77FA9981-07F8-45F3-8731-3733A17B240D}">
      <tableStyleElement type="headerRow" dxfId="83"/>
    </tableStyle>
  </tableStyles>
  <colors>
    <mruColors>
      <color rgb="FF333F50"/>
      <color rgb="FF435369"/>
      <color rgb="FF76C0D4"/>
      <color rgb="FFB7DEE8"/>
      <color rgb="FF93CDDD"/>
      <color rgb="FF1F95B3"/>
      <color rgb="FF257A94"/>
      <color rgb="FF31869B"/>
      <color rgb="FF953735"/>
      <color rgb="FFFFC000"/>
    </mruColors>
  </colors>
  <extLst>
    <ext xmlns:x14="http://schemas.microsoft.com/office/spreadsheetml/2009/9/main" uri="{46F421CA-312F-682f-3DD2-61675219B42D}">
      <x14:dxfs count="6">
        <dxf>
          <fill>
            <patternFill>
              <bgColor rgb="FFFFC000"/>
            </patternFill>
          </fill>
        </dxf>
        <dxf>
          <fill>
            <patternFill>
              <bgColor rgb="FFFFC000"/>
            </patternFill>
          </fill>
        </dxf>
        <dxf>
          <fill>
            <patternFill>
              <bgColor theme="7" tint="-0.24994659260841701"/>
            </patternFill>
          </fill>
        </dxf>
        <dxf>
          <fill>
            <patternFill>
              <bgColor theme="0" tint="-4.9989318521683403E-2"/>
            </patternFill>
          </fill>
        </dxf>
        <dxf>
          <font>
            <color theme="0"/>
          </font>
          <fill>
            <patternFill>
              <bgColor rgb="FF76C0D4"/>
            </patternFill>
          </fill>
        </dxf>
        <dxf>
          <fill>
            <patternFill>
              <bgColor theme="0"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[newgit (Recovered).xlsx]pivot_Table!PivotTable1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70672">
                <a:srgbClr val="257A94"/>
              </a:gs>
              <a:gs pos="6000">
                <a:srgbClr val="333F50"/>
              </a:gs>
              <a:gs pos="100000">
                <a:srgbClr val="1F95B3"/>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15000">
                <a:srgbClr val="00B0F0"/>
              </a:gs>
              <a:gs pos="88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646307310562675E-2"/>
          <c:y val="4.7624703515345215E-2"/>
          <c:w val="0.77565206628970962"/>
          <c:h val="0.84256550678176345"/>
        </c:manualLayout>
      </c:layout>
      <c:barChart>
        <c:barDir val="col"/>
        <c:grouping val="clustered"/>
        <c:varyColors val="0"/>
        <c:ser>
          <c:idx val="0"/>
          <c:order val="0"/>
          <c:tx>
            <c:strRef>
              <c:f>pivot_Table!$B$3:$B$4</c:f>
              <c:strCache>
                <c:ptCount val="1"/>
                <c:pt idx="0">
                  <c:v>Books</c:v>
                </c:pt>
              </c:strCache>
            </c:strRef>
          </c:tx>
          <c:spPr>
            <a:solidFill>
              <a:schemeClr val="accent1"/>
            </a:solidFill>
            <a:ln>
              <a:noFill/>
            </a:ln>
            <a:effectLst/>
          </c:spPr>
          <c:invertIfNegative val="0"/>
          <c:cat>
            <c:strRef>
              <c:f>pivot_Table!$A$5:$A$10</c:f>
              <c:strCache>
                <c:ptCount val="5"/>
                <c:pt idx="0">
                  <c:v>Central</c:v>
                </c:pt>
                <c:pt idx="1">
                  <c:v>East</c:v>
                </c:pt>
                <c:pt idx="2">
                  <c:v>North</c:v>
                </c:pt>
                <c:pt idx="3">
                  <c:v>South</c:v>
                </c:pt>
                <c:pt idx="4">
                  <c:v>West</c:v>
                </c:pt>
              </c:strCache>
            </c:strRef>
          </c:cat>
          <c:val>
            <c:numRef>
              <c:f>pivot_Table!$B$5:$B$10</c:f>
              <c:numCache>
                <c:formatCode>[$$-45C]#,##0.00</c:formatCode>
                <c:ptCount val="5"/>
                <c:pt idx="0">
                  <c:v>84</c:v>
                </c:pt>
                <c:pt idx="1">
                  <c:v>394</c:v>
                </c:pt>
                <c:pt idx="2">
                  <c:v>464</c:v>
                </c:pt>
                <c:pt idx="3">
                  <c:v>423</c:v>
                </c:pt>
                <c:pt idx="4">
                  <c:v>350</c:v>
                </c:pt>
              </c:numCache>
            </c:numRef>
          </c:val>
          <c:extLst>
            <c:ext xmlns:c16="http://schemas.microsoft.com/office/drawing/2014/chart" uri="{C3380CC4-5D6E-409C-BE32-E72D297353CC}">
              <c16:uniqueId val="{00000000-58F7-4FC5-8AFE-D950A787F83A}"/>
            </c:ext>
          </c:extLst>
        </c:ser>
        <c:ser>
          <c:idx val="1"/>
          <c:order val="1"/>
          <c:tx>
            <c:strRef>
              <c:f>pivot_Table!$C$3:$C$4</c:f>
              <c:strCache>
                <c:ptCount val="1"/>
                <c:pt idx="0">
                  <c:v>Electronics</c:v>
                </c:pt>
              </c:strCache>
            </c:strRef>
          </c:tx>
          <c:spPr>
            <a:gradFill>
              <a:gsLst>
                <a:gs pos="70672">
                  <a:srgbClr val="257A94"/>
                </a:gs>
                <a:gs pos="6000">
                  <a:srgbClr val="333F50"/>
                </a:gs>
                <a:gs pos="100000">
                  <a:srgbClr val="1F95B3"/>
                </a:gs>
              </a:gsLst>
              <a:lin ang="5400000" scaled="1"/>
            </a:gradFill>
            <a:ln>
              <a:noFill/>
            </a:ln>
            <a:effectLst/>
          </c:spPr>
          <c:invertIfNegative val="0"/>
          <c:cat>
            <c:strRef>
              <c:f>pivot_Table!$A$5:$A$10</c:f>
              <c:strCache>
                <c:ptCount val="5"/>
                <c:pt idx="0">
                  <c:v>Central</c:v>
                </c:pt>
                <c:pt idx="1">
                  <c:v>East</c:v>
                </c:pt>
                <c:pt idx="2">
                  <c:v>North</c:v>
                </c:pt>
                <c:pt idx="3">
                  <c:v>South</c:v>
                </c:pt>
                <c:pt idx="4">
                  <c:v>West</c:v>
                </c:pt>
              </c:strCache>
            </c:strRef>
          </c:cat>
          <c:val>
            <c:numRef>
              <c:f>pivot_Table!$C$5:$C$10</c:f>
              <c:numCache>
                <c:formatCode>[$$-45C]#,##0.00</c:formatCode>
                <c:ptCount val="5"/>
                <c:pt idx="0">
                  <c:v>2662</c:v>
                </c:pt>
                <c:pt idx="1">
                  <c:v>365</c:v>
                </c:pt>
                <c:pt idx="2">
                  <c:v>6522</c:v>
                </c:pt>
                <c:pt idx="3">
                  <c:v>3938</c:v>
                </c:pt>
                <c:pt idx="4">
                  <c:v>1722</c:v>
                </c:pt>
              </c:numCache>
            </c:numRef>
          </c:val>
          <c:extLst>
            <c:ext xmlns:c16="http://schemas.microsoft.com/office/drawing/2014/chart" uri="{C3380CC4-5D6E-409C-BE32-E72D297353CC}">
              <c16:uniqueId val="{0000000C-9D49-4A87-AD18-CA4070D90F35}"/>
            </c:ext>
          </c:extLst>
        </c:ser>
        <c:ser>
          <c:idx val="2"/>
          <c:order val="2"/>
          <c:tx>
            <c:strRef>
              <c:f>pivot_Table!$D$3:$D$4</c:f>
              <c:strCache>
                <c:ptCount val="1"/>
                <c:pt idx="0">
                  <c:v>Fashion</c:v>
                </c:pt>
              </c:strCache>
            </c:strRef>
          </c:tx>
          <c:spPr>
            <a:solidFill>
              <a:schemeClr val="accent3"/>
            </a:solidFill>
            <a:ln>
              <a:noFill/>
            </a:ln>
            <a:effectLst/>
          </c:spPr>
          <c:invertIfNegative val="0"/>
          <c:cat>
            <c:strRef>
              <c:f>pivot_Table!$A$5:$A$10</c:f>
              <c:strCache>
                <c:ptCount val="5"/>
                <c:pt idx="0">
                  <c:v>Central</c:v>
                </c:pt>
                <c:pt idx="1">
                  <c:v>East</c:v>
                </c:pt>
                <c:pt idx="2">
                  <c:v>North</c:v>
                </c:pt>
                <c:pt idx="3">
                  <c:v>South</c:v>
                </c:pt>
                <c:pt idx="4">
                  <c:v>West</c:v>
                </c:pt>
              </c:strCache>
            </c:strRef>
          </c:cat>
          <c:val>
            <c:numRef>
              <c:f>pivot_Table!$D$5:$D$10</c:f>
              <c:numCache>
                <c:formatCode>[$$-45C]#,##0.00</c:formatCode>
                <c:ptCount val="5"/>
                <c:pt idx="0">
                  <c:v>210</c:v>
                </c:pt>
                <c:pt idx="1">
                  <c:v>711</c:v>
                </c:pt>
                <c:pt idx="2">
                  <c:v>788</c:v>
                </c:pt>
                <c:pt idx="3">
                  <c:v>1032</c:v>
                </c:pt>
                <c:pt idx="4">
                  <c:v>1131</c:v>
                </c:pt>
              </c:numCache>
            </c:numRef>
          </c:val>
          <c:extLst>
            <c:ext xmlns:c16="http://schemas.microsoft.com/office/drawing/2014/chart" uri="{C3380CC4-5D6E-409C-BE32-E72D297353CC}">
              <c16:uniqueId val="{0000000D-9D49-4A87-AD18-CA4070D90F35}"/>
            </c:ext>
          </c:extLst>
        </c:ser>
        <c:ser>
          <c:idx val="3"/>
          <c:order val="3"/>
          <c:tx>
            <c:strRef>
              <c:f>pivot_Table!$E$3:$E$4</c:f>
              <c:strCache>
                <c:ptCount val="1"/>
                <c:pt idx="0">
                  <c:v>Home</c:v>
                </c:pt>
              </c:strCache>
            </c:strRef>
          </c:tx>
          <c:spPr>
            <a:gradFill>
              <a:gsLst>
                <a:gs pos="15000">
                  <a:srgbClr val="00B0F0"/>
                </a:gs>
                <a:gs pos="88000">
                  <a:schemeClr val="accent1">
                    <a:lumMod val="30000"/>
                    <a:lumOff val="70000"/>
                  </a:schemeClr>
                </a:gs>
              </a:gsLst>
              <a:lin ang="5400000" scaled="1"/>
            </a:gradFill>
            <a:ln>
              <a:noFill/>
            </a:ln>
            <a:effectLst/>
          </c:spPr>
          <c:invertIfNegative val="0"/>
          <c:cat>
            <c:strRef>
              <c:f>pivot_Table!$A$5:$A$10</c:f>
              <c:strCache>
                <c:ptCount val="5"/>
                <c:pt idx="0">
                  <c:v>Central</c:v>
                </c:pt>
                <c:pt idx="1">
                  <c:v>East</c:v>
                </c:pt>
                <c:pt idx="2">
                  <c:v>North</c:v>
                </c:pt>
                <c:pt idx="3">
                  <c:v>South</c:v>
                </c:pt>
                <c:pt idx="4">
                  <c:v>West</c:v>
                </c:pt>
              </c:strCache>
            </c:strRef>
          </c:cat>
          <c:val>
            <c:numRef>
              <c:f>pivot_Table!$E$5:$E$10</c:f>
              <c:numCache>
                <c:formatCode>[$$-45C]#,##0.00</c:formatCode>
                <c:ptCount val="5"/>
                <c:pt idx="0">
                  <c:v>2063</c:v>
                </c:pt>
                <c:pt idx="1">
                  <c:v>741</c:v>
                </c:pt>
                <c:pt idx="2">
                  <c:v>2131</c:v>
                </c:pt>
                <c:pt idx="3">
                  <c:v>1881</c:v>
                </c:pt>
                <c:pt idx="4">
                  <c:v>4135</c:v>
                </c:pt>
              </c:numCache>
            </c:numRef>
          </c:val>
          <c:extLst>
            <c:ext xmlns:c16="http://schemas.microsoft.com/office/drawing/2014/chart" uri="{C3380CC4-5D6E-409C-BE32-E72D297353CC}">
              <c16:uniqueId val="{0000000E-9D49-4A87-AD18-CA4070D90F35}"/>
            </c:ext>
          </c:extLst>
        </c:ser>
        <c:ser>
          <c:idx val="4"/>
          <c:order val="4"/>
          <c:tx>
            <c:strRef>
              <c:f>pivot_Table!$F$3:$F$4</c:f>
              <c:strCache>
                <c:ptCount val="1"/>
                <c:pt idx="0">
                  <c:v>Toys</c:v>
                </c:pt>
              </c:strCache>
            </c:strRef>
          </c:tx>
          <c:spPr>
            <a:solidFill>
              <a:schemeClr val="accent6"/>
            </a:solidFill>
            <a:ln>
              <a:noFill/>
            </a:ln>
            <a:effectLst/>
          </c:spPr>
          <c:invertIfNegative val="0"/>
          <c:cat>
            <c:strRef>
              <c:f>pivot_Table!$A$5:$A$10</c:f>
              <c:strCache>
                <c:ptCount val="5"/>
                <c:pt idx="0">
                  <c:v>Central</c:v>
                </c:pt>
                <c:pt idx="1">
                  <c:v>East</c:v>
                </c:pt>
                <c:pt idx="2">
                  <c:v>North</c:v>
                </c:pt>
                <c:pt idx="3">
                  <c:v>South</c:v>
                </c:pt>
                <c:pt idx="4">
                  <c:v>West</c:v>
                </c:pt>
              </c:strCache>
            </c:strRef>
          </c:cat>
          <c:val>
            <c:numRef>
              <c:f>pivot_Table!$F$5:$F$10</c:f>
              <c:numCache>
                <c:formatCode>[$$-45C]#,##0.00</c:formatCode>
                <c:ptCount val="5"/>
                <c:pt idx="0">
                  <c:v>437</c:v>
                </c:pt>
                <c:pt idx="1">
                  <c:v>1424</c:v>
                </c:pt>
                <c:pt idx="2">
                  <c:v>586</c:v>
                </c:pt>
                <c:pt idx="3">
                  <c:v>43</c:v>
                </c:pt>
                <c:pt idx="4">
                  <c:v>1021</c:v>
                </c:pt>
              </c:numCache>
            </c:numRef>
          </c:val>
          <c:extLst>
            <c:ext xmlns:c16="http://schemas.microsoft.com/office/drawing/2014/chart" uri="{C3380CC4-5D6E-409C-BE32-E72D297353CC}">
              <c16:uniqueId val="{00000012-9D49-4A87-AD18-CA4070D90F35}"/>
            </c:ext>
          </c:extLst>
        </c:ser>
        <c:dLbls>
          <c:showLegendKey val="0"/>
          <c:showVal val="0"/>
          <c:showCatName val="0"/>
          <c:showSerName val="0"/>
          <c:showPercent val="0"/>
          <c:showBubbleSize val="0"/>
        </c:dLbls>
        <c:gapWidth val="219"/>
        <c:overlap val="-27"/>
        <c:axId val="1002178559"/>
        <c:axId val="1002179039"/>
      </c:barChart>
      <c:catAx>
        <c:axId val="100217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002179039"/>
        <c:crosses val="autoZero"/>
        <c:auto val="1"/>
        <c:lblAlgn val="ctr"/>
        <c:lblOffset val="100"/>
        <c:noMultiLvlLbl val="0"/>
      </c:catAx>
      <c:valAx>
        <c:axId val="1002179039"/>
        <c:scaling>
          <c:orientation val="minMax"/>
        </c:scaling>
        <c:delete val="0"/>
        <c:axPos val="l"/>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002178559"/>
        <c:crosses val="autoZero"/>
        <c:crossBetween val="between"/>
      </c:valAx>
      <c:spPr>
        <a:noFill/>
        <a:ln>
          <a:noFill/>
        </a:ln>
        <a:effectLst/>
      </c:spPr>
    </c:plotArea>
    <c:legend>
      <c:legendPos val="r"/>
      <c:layout>
        <c:manualLayout>
          <c:xMode val="edge"/>
          <c:yMode val="edge"/>
          <c:x val="0.86894542680340003"/>
          <c:y val="9.2924499004091707E-2"/>
          <c:w val="0.12263047119840932"/>
          <c:h val="0.42456228332362778"/>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[newgit (Recovered).xlsx]pivot_Table!PivotTable11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22000">
                <a:srgbClr val="333F50"/>
              </a:gs>
              <a:gs pos="47000">
                <a:srgbClr val="257A94"/>
              </a:gs>
              <a:gs pos="100000">
                <a:srgbClr val="1F95B3"/>
              </a:gs>
            </a:gsLst>
            <a:lin ang="12000000" scaled="0"/>
            <a:tileRect/>
          </a:gradFill>
          <a:ln>
            <a:noFill/>
          </a:ln>
          <a:effectLst/>
        </c:spPr>
        <c:marker>
          <c:symbol val="none"/>
        </c:marker>
        <c:dLbl>
          <c:idx val="0"/>
          <c:spPr>
            <a:solidFill>
              <a:srgbClr val="93CDD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22000">
                <a:srgbClr val="333F50"/>
              </a:gs>
              <a:gs pos="47000">
                <a:srgbClr val="257A94"/>
              </a:gs>
              <a:gs pos="100000">
                <a:srgbClr val="1F95B3"/>
              </a:gs>
            </a:gsLst>
            <a:lin ang="12000000" scaled="0"/>
            <a:tileRect/>
          </a:gradFill>
          <a:ln>
            <a:noFill/>
          </a:ln>
          <a:effectLst/>
        </c:spPr>
      </c:pivotFmt>
      <c:pivotFmt>
        <c:idx val="4"/>
        <c:spPr>
          <a:gradFill flip="none" rotWithShape="1">
            <a:gsLst>
              <a:gs pos="22000">
                <a:srgbClr val="333F50"/>
              </a:gs>
              <a:gs pos="47000">
                <a:srgbClr val="257A94"/>
              </a:gs>
              <a:gs pos="100000">
                <a:srgbClr val="1F95B3"/>
              </a:gs>
            </a:gsLst>
            <a:lin ang="12000000" scaled="0"/>
            <a:tileRect/>
          </a:gradFill>
          <a:ln>
            <a:noFill/>
          </a:ln>
          <a:effectLst/>
        </c:spPr>
      </c:pivotFmt>
      <c:pivotFmt>
        <c:idx val="5"/>
        <c:spPr>
          <a:gradFill flip="none" rotWithShape="1">
            <a:gsLst>
              <a:gs pos="22000">
                <a:srgbClr val="333F50"/>
              </a:gs>
              <a:gs pos="47000">
                <a:srgbClr val="257A94"/>
              </a:gs>
              <a:gs pos="100000">
                <a:srgbClr val="1F95B3"/>
              </a:gs>
            </a:gsLst>
            <a:lin ang="12000000" scaled="0"/>
            <a:tileRect/>
          </a:gradFill>
          <a:ln>
            <a:noFill/>
          </a:ln>
          <a:effectLst/>
        </c:spPr>
      </c:pivotFmt>
      <c:pivotFmt>
        <c:idx val="6"/>
        <c:spPr>
          <a:gradFill flip="none" rotWithShape="1">
            <a:gsLst>
              <a:gs pos="22000">
                <a:srgbClr val="333F50"/>
              </a:gs>
              <a:gs pos="47000">
                <a:srgbClr val="257A94"/>
              </a:gs>
              <a:gs pos="100000">
                <a:srgbClr val="1F95B3"/>
              </a:gs>
            </a:gsLst>
            <a:lin ang="12000000" scaled="0"/>
            <a:tileRect/>
          </a:gradFill>
          <a:ln>
            <a:noFill/>
          </a:ln>
          <a:effectLst/>
        </c:spPr>
      </c:pivotFmt>
      <c:pivotFmt>
        <c:idx val="7"/>
        <c:spPr>
          <a:gradFill flip="none" rotWithShape="1">
            <a:gsLst>
              <a:gs pos="22000">
                <a:srgbClr val="333F50"/>
              </a:gs>
              <a:gs pos="47000">
                <a:srgbClr val="257A94"/>
              </a:gs>
              <a:gs pos="100000">
                <a:srgbClr val="1F95B3"/>
              </a:gs>
            </a:gsLst>
            <a:lin ang="12000000" scaled="0"/>
            <a:tileRect/>
          </a:gradFill>
          <a:ln>
            <a:noFill/>
          </a:ln>
          <a:effectLst/>
        </c:spPr>
      </c:pivotFmt>
    </c:pivotFmts>
    <c:plotArea>
      <c:layout>
        <c:manualLayout>
          <c:layoutTarget val="inner"/>
          <c:xMode val="edge"/>
          <c:yMode val="edge"/>
          <c:x val="0.15147573443341814"/>
          <c:y val="0.10776121711860157"/>
          <c:w val="0.83061210178116351"/>
          <c:h val="0.86714152742862982"/>
        </c:manualLayout>
      </c:layout>
      <c:barChart>
        <c:barDir val="bar"/>
        <c:grouping val="clustered"/>
        <c:varyColors val="0"/>
        <c:ser>
          <c:idx val="0"/>
          <c:order val="0"/>
          <c:tx>
            <c:strRef>
              <c:f>pivot_Table!$AA$17</c:f>
              <c:strCache>
                <c:ptCount val="1"/>
                <c:pt idx="0">
                  <c:v>Total</c:v>
                </c:pt>
              </c:strCache>
            </c:strRef>
          </c:tx>
          <c:spPr>
            <a:gradFill flip="none" rotWithShape="1">
              <a:gsLst>
                <a:gs pos="22000">
                  <a:srgbClr val="333F50"/>
                </a:gs>
                <a:gs pos="47000">
                  <a:srgbClr val="257A94"/>
                </a:gs>
                <a:gs pos="100000">
                  <a:srgbClr val="1F95B3"/>
                </a:gs>
              </a:gsLst>
              <a:lin ang="12000000" scaled="0"/>
              <a:tileRect/>
            </a:gradFill>
            <a:ln>
              <a:noFill/>
            </a:ln>
            <a:effectLst/>
          </c:spPr>
          <c:invertIfNegative val="0"/>
          <c:dLbls>
            <c:spPr>
              <a:solidFill>
                <a:srgbClr val="93CDD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pivot_Table!$Z$18:$Z$23</c:f>
              <c:strCache>
                <c:ptCount val="5"/>
                <c:pt idx="0">
                  <c:v>Electronics</c:v>
                </c:pt>
                <c:pt idx="1">
                  <c:v>Home</c:v>
                </c:pt>
                <c:pt idx="2">
                  <c:v>Fashion</c:v>
                </c:pt>
                <c:pt idx="3">
                  <c:v>Toys</c:v>
                </c:pt>
                <c:pt idx="4">
                  <c:v>Books</c:v>
                </c:pt>
              </c:strCache>
            </c:strRef>
          </c:cat>
          <c:val>
            <c:numRef>
              <c:f>pivot_Table!$AA$18:$AA$23</c:f>
              <c:numCache>
                <c:formatCode>[$$-45C]#,##0.00</c:formatCode>
                <c:ptCount val="5"/>
                <c:pt idx="0">
                  <c:v>15209</c:v>
                </c:pt>
                <c:pt idx="1">
                  <c:v>10951</c:v>
                </c:pt>
                <c:pt idx="2">
                  <c:v>3872</c:v>
                </c:pt>
                <c:pt idx="3">
                  <c:v>3511</c:v>
                </c:pt>
                <c:pt idx="4">
                  <c:v>1715</c:v>
                </c:pt>
              </c:numCache>
            </c:numRef>
          </c:val>
          <c:extLst>
            <c:ext xmlns:c16="http://schemas.microsoft.com/office/drawing/2014/chart" uri="{C3380CC4-5D6E-409C-BE32-E72D297353CC}">
              <c16:uniqueId val="{00000000-9B2E-4C32-A1B1-E338C00F2233}"/>
            </c:ext>
          </c:extLst>
        </c:ser>
        <c:dLbls>
          <c:showLegendKey val="0"/>
          <c:showVal val="0"/>
          <c:showCatName val="0"/>
          <c:showSerName val="0"/>
          <c:showPercent val="0"/>
          <c:showBubbleSize val="0"/>
        </c:dLbls>
        <c:gapWidth val="182"/>
        <c:axId val="1108253135"/>
        <c:axId val="1108255055"/>
      </c:barChart>
      <c:catAx>
        <c:axId val="110825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08255055"/>
        <c:crosses val="autoZero"/>
        <c:auto val="1"/>
        <c:lblAlgn val="ctr"/>
        <c:lblOffset val="100"/>
        <c:noMultiLvlLbl val="0"/>
      </c:catAx>
      <c:valAx>
        <c:axId val="1108255055"/>
        <c:scaling>
          <c:orientation val="minMax"/>
        </c:scaling>
        <c:delete val="1"/>
        <c:axPos val="b"/>
        <c:numFmt formatCode="[$$-45C]#,##0.00" sourceLinked="1"/>
        <c:majorTickMark val="none"/>
        <c:minorTickMark val="none"/>
        <c:tickLblPos val="nextTo"/>
        <c:crossAx val="110825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[newgit (Recovered).xlsx]pivot_Table!PivotTable2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93CDDD"/>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rgbClr val="257A94"/>
              </a:gs>
              <a:gs pos="47000">
                <a:srgbClr val="929D4A"/>
              </a:gs>
              <a:gs pos="17000">
                <a:srgbClr val="FFC000"/>
              </a:gs>
            </a:gsLst>
            <a:lin ang="10200000" scaled="0"/>
          </a:gradFill>
          <a:ln w="19050">
            <a:solidFill>
              <a:schemeClr val="lt1"/>
            </a:solidFill>
          </a:ln>
          <a:effectLst/>
        </c:spPr>
        <c:dLbl>
          <c:idx val="0"/>
          <c:layout>
            <c:manualLayout>
              <c:x val="9.3856379416261251E-2"/>
              <c:y val="-5.1163671376141646E-2"/>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59000">
                <a:srgbClr val="257A94"/>
              </a:gs>
              <a:gs pos="0">
                <a:schemeClr val="tx1"/>
              </a:gs>
            </a:gsLst>
            <a:lin ang="10200000" scaled="0"/>
          </a:gradFill>
          <a:ln w="19050">
            <a:solidFill>
              <a:schemeClr val="lt1"/>
            </a:solidFill>
          </a:ln>
          <a:effectLst/>
        </c:spPr>
        <c:dLbl>
          <c:idx val="0"/>
          <c:layout>
            <c:manualLayout>
              <c:x val="0.21704287740010439"/>
              <c:y val="-2.5581835688070806E-2"/>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7000">
                <a:srgbClr val="953735"/>
              </a:gs>
              <a:gs pos="92000">
                <a:schemeClr val="tx1"/>
              </a:gs>
            </a:gsLst>
            <a:lin ang="5400000" scaled="1"/>
          </a:gradFill>
          <a:ln w="19050">
            <a:solidFill>
              <a:schemeClr val="lt1"/>
            </a:solidFill>
          </a:ln>
          <a:effectLst/>
        </c:spPr>
        <c:dLbl>
          <c:idx val="0"/>
          <c:layout>
            <c:manualLayout>
              <c:x val="-0.12318649798384303"/>
              <c:y val="1.2790917844035403E-2"/>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51800040049704"/>
          <c:y val="5.0348788548134425E-2"/>
          <c:w val="0.43180565696883882"/>
          <c:h val="0.96188352333481397"/>
        </c:manualLayout>
      </c:layout>
      <c:doughnutChart>
        <c:varyColors val="1"/>
        <c:ser>
          <c:idx val="0"/>
          <c:order val="0"/>
          <c:tx>
            <c:strRef>
              <c:f>pivot_Table!$L$3</c:f>
              <c:strCache>
                <c:ptCount val="1"/>
                <c:pt idx="0">
                  <c:v>Total</c:v>
                </c:pt>
              </c:strCache>
            </c:strRef>
          </c:tx>
          <c:dPt>
            <c:idx val="0"/>
            <c:bubble3D val="0"/>
            <c:spPr>
              <a:gradFill>
                <a:gsLst>
                  <a:gs pos="100000">
                    <a:srgbClr val="257A94"/>
                  </a:gs>
                  <a:gs pos="47000">
                    <a:srgbClr val="929D4A"/>
                  </a:gs>
                  <a:gs pos="17000">
                    <a:srgbClr val="FFC000"/>
                  </a:gs>
                </a:gsLst>
                <a:lin ang="10200000" scaled="0"/>
              </a:gradFill>
              <a:ln w="19050">
                <a:solidFill>
                  <a:schemeClr val="lt1"/>
                </a:solidFill>
              </a:ln>
              <a:effectLst/>
            </c:spPr>
            <c:extLst>
              <c:ext xmlns:c16="http://schemas.microsoft.com/office/drawing/2014/chart" uri="{C3380CC4-5D6E-409C-BE32-E72D297353CC}">
                <c16:uniqueId val="{00000001-6509-403D-9472-A6EDC8858DA9}"/>
              </c:ext>
            </c:extLst>
          </c:dPt>
          <c:dPt>
            <c:idx val="1"/>
            <c:bubble3D val="0"/>
            <c:spPr>
              <a:gradFill>
                <a:gsLst>
                  <a:gs pos="59000">
                    <a:srgbClr val="257A94"/>
                  </a:gs>
                  <a:gs pos="0">
                    <a:schemeClr val="tx1"/>
                  </a:gs>
                </a:gsLst>
                <a:lin ang="10200000" scaled="0"/>
              </a:gradFill>
              <a:ln w="19050">
                <a:solidFill>
                  <a:schemeClr val="lt1"/>
                </a:solidFill>
              </a:ln>
              <a:effectLst/>
            </c:spPr>
            <c:extLst>
              <c:ext xmlns:c16="http://schemas.microsoft.com/office/drawing/2014/chart" uri="{C3380CC4-5D6E-409C-BE32-E72D297353CC}">
                <c16:uniqueId val="{00000003-6509-403D-9472-A6EDC8858DA9}"/>
              </c:ext>
            </c:extLst>
          </c:dPt>
          <c:dPt>
            <c:idx val="2"/>
            <c:bubble3D val="0"/>
            <c:spPr>
              <a:gradFill>
                <a:gsLst>
                  <a:gs pos="17000">
                    <a:srgbClr val="953735"/>
                  </a:gs>
                  <a:gs pos="92000">
                    <a:schemeClr val="tx1"/>
                  </a:gs>
                </a:gsLst>
                <a:lin ang="5400000" scaled="1"/>
              </a:gradFill>
              <a:ln w="19050">
                <a:solidFill>
                  <a:schemeClr val="lt1"/>
                </a:solidFill>
              </a:ln>
              <a:effectLst/>
            </c:spPr>
            <c:extLst>
              <c:ext xmlns:c16="http://schemas.microsoft.com/office/drawing/2014/chart" uri="{C3380CC4-5D6E-409C-BE32-E72D297353CC}">
                <c16:uniqueId val="{00000005-6509-403D-9472-A6EDC8858DA9}"/>
              </c:ext>
            </c:extLst>
          </c:dPt>
          <c:dLbls>
            <c:dLbl>
              <c:idx val="0"/>
              <c:layout>
                <c:manualLayout>
                  <c:x val="9.3856379416261251E-2"/>
                  <c:y val="-5.1163671376141646E-2"/>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09-403D-9472-A6EDC8858DA9}"/>
                </c:ext>
              </c:extLst>
            </c:dLbl>
            <c:dLbl>
              <c:idx val="1"/>
              <c:layout>
                <c:manualLayout>
                  <c:x val="0.21704287740010439"/>
                  <c:y val="-2.5581835688070806E-2"/>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09-403D-9472-A6EDC8858DA9}"/>
                </c:ext>
              </c:extLst>
            </c:dLbl>
            <c:dLbl>
              <c:idx val="2"/>
              <c:layout>
                <c:manualLayout>
                  <c:x val="-0.12318649798384303"/>
                  <c:y val="1.2790917844035403E-2"/>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09-403D-9472-A6EDC8858DA9}"/>
                </c:ext>
              </c:extLst>
            </c:dLbl>
            <c:spPr>
              <a:solidFill>
                <a:srgbClr val="93CDDD"/>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pivot_Table!$K$4:$K$7</c:f>
              <c:strCache>
                <c:ptCount val="3"/>
                <c:pt idx="0">
                  <c:v>Cancelled</c:v>
                </c:pt>
                <c:pt idx="1">
                  <c:v>Delivered</c:v>
                </c:pt>
                <c:pt idx="2">
                  <c:v>In Transit</c:v>
                </c:pt>
              </c:strCache>
            </c:strRef>
          </c:cat>
          <c:val>
            <c:numRef>
              <c:f>pivot_Table!$L$4:$L$7</c:f>
              <c:numCache>
                <c:formatCode>General</c:formatCode>
                <c:ptCount val="3"/>
                <c:pt idx="0">
                  <c:v>30</c:v>
                </c:pt>
                <c:pt idx="1">
                  <c:v>34</c:v>
                </c:pt>
                <c:pt idx="2">
                  <c:v>36</c:v>
                </c:pt>
              </c:numCache>
            </c:numRef>
          </c:val>
          <c:extLst>
            <c:ext xmlns:c16="http://schemas.microsoft.com/office/drawing/2014/chart" uri="{C3380CC4-5D6E-409C-BE32-E72D297353CC}">
              <c16:uniqueId val="{00000006-6509-403D-9472-A6EDC8858DA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831850955455047"/>
          <c:y val="9.2670274147670498E-2"/>
          <c:w val="0.22661976432262307"/>
          <c:h val="0.7049009959283503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[newgit (Recovered).xlsx]pivot_Table!PivotTable4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rgbClr val="93CDDD"/>
            </a:solidFill>
            <a:ln>
              <a:noFill/>
            </a:ln>
            <a:effectLst/>
          </c:spPr>
          <c:txPr>
            <a:bodyPr rot="0" spcFirstLastPara="1" vertOverflow="ellipsis" vert="horz" wrap="square" lIns="38100" tIns="19050" rIns="38100" bIns="19050" anchor="ctr" anchorCtr="0">
              <a:spAutoFit/>
            </a:bodyPr>
            <a:lstStyle/>
            <a:p>
              <a:pPr algn="ctr">
                <a:defRPr lang="en-US"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4000">
                <a:srgbClr val="953735"/>
              </a:gs>
              <a:gs pos="87000">
                <a:schemeClr val="accent1">
                  <a:lumMod val="20000"/>
                  <a:lumOff val="80000"/>
                </a:schemeClr>
              </a:gs>
              <a:gs pos="100000">
                <a:schemeClr val="accent4">
                  <a:lumMod val="75000"/>
                </a:schemeClr>
              </a:gs>
            </a:gsLst>
            <a:lin ang="5400000" scaled="1"/>
          </a:gradFill>
          <a:ln w="19050">
            <a:solidFill>
              <a:schemeClr val="lt1"/>
            </a:solidFill>
          </a:ln>
          <a:effectLst/>
        </c:spPr>
        <c:dLbl>
          <c:idx val="0"/>
          <c:layout>
            <c:manualLayout>
              <c:x val="0.13367092487900339"/>
              <c:y val="2.8983669743381683E-2"/>
            </c:manualLayout>
          </c:layout>
          <c:tx>
            <c:rich>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Segoe UI Semibold" panose="020B0702040204020203" pitchFamily="34" charset="0"/>
                  </a:defRPr>
                </a:pPr>
                <a:r>
                  <a:rPr lang="en-US" sz="1400" b="0" i="0" u="none" strike="noStrike" kern="1200" baseline="0">
                    <a:solidFill>
                      <a:schemeClr val="tx1">
                        <a:lumMod val="75000"/>
                        <a:lumOff val="25000"/>
                      </a:schemeClr>
                    </a:solidFill>
                    <a:latin typeface="+mn-lt"/>
                    <a:ea typeface="+mn-ea"/>
                    <a:cs typeface="Segoe UI Semibold" panose="020B0702040204020203" pitchFamily="34" charset="0"/>
                  </a:rPr>
                  <a:t>5%</a:t>
                </a:r>
              </a:p>
            </c:rich>
          </c:tx>
          <c:numFmt formatCode="#,##0.00" sourceLinked="0"/>
          <c:spPr>
            <a:solidFill>
              <a:srgbClr val="93CDDD"/>
            </a:solid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spPr>
          <a:solidFill>
            <a:schemeClr val="accent1"/>
          </a:solidFill>
          <a:ln w="19050">
            <a:solidFill>
              <a:schemeClr val="lt1"/>
            </a:solidFill>
          </a:ln>
          <a:effectLst/>
        </c:spPr>
        <c:dLbl>
          <c:idx val="0"/>
          <c:layout>
            <c:manualLayout>
              <c:x val="2.8226093525887789E-2"/>
              <c:y val="0.11746728877168069"/>
            </c:manualLayout>
          </c:layout>
          <c:tx>
            <c:rich>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mn-cs"/>
                  </a:defRPr>
                </a:pPr>
                <a:r>
                  <a:rPr lang="en-US" sz="1400"/>
                  <a:t>3%</a:t>
                </a:r>
              </a:p>
            </c:rich>
          </c:tx>
          <c:spPr>
            <a:solidFill>
              <a:srgbClr val="93CDDD"/>
            </a:solid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gradFill>
            <a:gsLst>
              <a:gs pos="5000">
                <a:srgbClr val="00B0F0"/>
              </a:gs>
              <a:gs pos="45000">
                <a:schemeClr val="accent1">
                  <a:lumMod val="45000"/>
                  <a:lumOff val="55000"/>
                </a:schemeClr>
              </a:gs>
              <a:gs pos="100000">
                <a:srgbClr val="00B0F0"/>
              </a:gs>
            </a:gsLst>
            <a:lin ang="10800000" scaled="1"/>
          </a:gradFill>
          <a:ln w="19050">
            <a:solidFill>
              <a:schemeClr val="lt1"/>
            </a:solidFill>
          </a:ln>
          <a:effectLst/>
        </c:spPr>
        <c:dLbl>
          <c:idx val="0"/>
          <c:layout>
            <c:manualLayout>
              <c:x val="4.9075628880265947E-2"/>
              <c:y val="-9.525813977076783E-2"/>
            </c:manualLayout>
          </c:layout>
          <c:tx>
            <c:rich>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mn-cs"/>
                  </a:defRPr>
                </a:pPr>
                <a:r>
                  <a:rPr lang="en-US" sz="1400"/>
                  <a:t>10%</a:t>
                </a:r>
              </a:p>
            </c:rich>
          </c:tx>
          <c:spPr>
            <a:solidFill>
              <a:srgbClr val="93CDDD"/>
            </a:solid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spPr>
          <a:gradFill>
            <a:gsLst>
              <a:gs pos="0">
                <a:srgbClr val="7030A0"/>
              </a:gs>
              <a:gs pos="100000">
                <a:schemeClr val="accent1">
                  <a:lumMod val="20000"/>
                  <a:lumOff val="80000"/>
                </a:schemeClr>
              </a:gs>
              <a:gs pos="100000">
                <a:schemeClr val="accent4">
                  <a:lumMod val="75000"/>
                </a:schemeClr>
              </a:gs>
            </a:gsLst>
            <a:lin ang="5400000" scaled="1"/>
          </a:gradFill>
          <a:ln w="19050">
            <a:solidFill>
              <a:schemeClr val="lt1"/>
            </a:solidFill>
          </a:ln>
          <a:effectLst/>
        </c:spPr>
        <c:dLbl>
          <c:idx val="0"/>
          <c:layout>
            <c:manualLayout>
              <c:x val="-1.9854682929146897E-2"/>
              <c:y val="3.3698575416529146E-2"/>
            </c:manualLayout>
          </c:layout>
          <c:tx>
            <c:rich>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mn-cs"/>
                  </a:defRPr>
                </a:pPr>
                <a:r>
                  <a:rPr lang="en-US" sz="1400"/>
                  <a:t>4%</a:t>
                </a:r>
              </a:p>
            </c:rich>
          </c:tx>
          <c:spPr>
            <a:solidFill>
              <a:srgbClr val="93CDDD"/>
            </a:solid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gradFill>
            <a:gsLst>
              <a:gs pos="0">
                <a:srgbClr val="1F95B3"/>
              </a:gs>
              <a:gs pos="37000">
                <a:srgbClr val="333F50"/>
              </a:gs>
              <a:gs pos="100000">
                <a:srgbClr val="1F8CB3"/>
              </a:gs>
            </a:gsLst>
            <a:lin ang="5400000" scaled="1"/>
          </a:gradFill>
          <a:ln w="19050">
            <a:solidFill>
              <a:schemeClr val="lt1"/>
            </a:solidFill>
          </a:ln>
          <a:effectLst/>
        </c:spPr>
        <c:dLbl>
          <c:idx val="0"/>
          <c:layout>
            <c:manualLayout>
              <c:x val="-8.4555712270803954E-2"/>
              <c:y val="0.22542854230492612"/>
            </c:manualLayout>
          </c:layout>
          <c:tx>
            <c:rich>
              <a:bodyPr rot="0" spcFirstLastPara="1" vertOverflow="ellipsis" vert="horz" wrap="square" lIns="38100" tIns="19050" rIns="38100" bIns="19050" anchor="ctr" anchorCtr="0">
                <a:spAutoFit/>
              </a:bodyPr>
              <a:lstStyle/>
              <a:p>
                <a:pPr algn="ctr">
                  <a:defRPr lang="en-US" sz="600" b="0" i="0" u="none" strike="noStrike" kern="1200" baseline="0">
                    <a:solidFill>
                      <a:schemeClr val="tx1">
                        <a:lumMod val="75000"/>
                        <a:lumOff val="25000"/>
                      </a:schemeClr>
                    </a:solidFill>
                    <a:latin typeface="+mn-lt"/>
                    <a:ea typeface="+mn-ea"/>
                    <a:cs typeface="+mn-cs"/>
                  </a:defRPr>
                </a:pPr>
                <a:r>
                  <a:rPr lang="en-US" sz="1400"/>
                  <a:t>8%</a:t>
                </a:r>
              </a:p>
            </c:rich>
          </c:tx>
          <c:spPr>
            <a:solidFill>
              <a:srgbClr val="93CDDD"/>
            </a:solid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12391697310648264"/>
          <c:y val="1.2810322497347154E-2"/>
          <c:w val="0.41430512215868831"/>
          <c:h val="0.923138065015917"/>
        </c:manualLayout>
      </c:layout>
      <c:pieChart>
        <c:varyColors val="1"/>
        <c:ser>
          <c:idx val="0"/>
          <c:order val="0"/>
          <c:tx>
            <c:strRef>
              <c:f>pivot_Table!$B$34</c:f>
              <c:strCache>
                <c:ptCount val="1"/>
                <c:pt idx="0">
                  <c:v>Total</c:v>
                </c:pt>
              </c:strCache>
            </c:strRef>
          </c:tx>
          <c:dPt>
            <c:idx val="0"/>
            <c:bubble3D val="0"/>
            <c:spPr>
              <a:gradFill>
                <a:gsLst>
                  <a:gs pos="14000">
                    <a:srgbClr val="953735"/>
                  </a:gs>
                  <a:gs pos="87000">
                    <a:schemeClr val="accent1">
                      <a:lumMod val="20000"/>
                      <a:lumOff val="80000"/>
                    </a:schemeClr>
                  </a:gs>
                  <a:gs pos="100000">
                    <a:schemeClr val="accent4">
                      <a:lumMod val="75000"/>
                    </a:schemeClr>
                  </a:gs>
                </a:gsLst>
                <a:lin ang="5400000" scaled="1"/>
              </a:gradFill>
              <a:ln w="19050">
                <a:solidFill>
                  <a:schemeClr val="lt1"/>
                </a:solidFill>
              </a:ln>
              <a:effectLst/>
            </c:spPr>
            <c:extLst>
              <c:ext xmlns:c16="http://schemas.microsoft.com/office/drawing/2014/chart" uri="{C3380CC4-5D6E-409C-BE32-E72D297353CC}">
                <c16:uniqueId val="{00000001-E5C2-412A-B28E-EC4DC62636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C2-412A-B28E-EC4DC626366E}"/>
              </c:ext>
            </c:extLst>
          </c:dPt>
          <c:dPt>
            <c:idx val="2"/>
            <c:bubble3D val="0"/>
            <c:spPr>
              <a:gradFill>
                <a:gsLst>
                  <a:gs pos="5000">
                    <a:srgbClr val="00B0F0"/>
                  </a:gs>
                  <a:gs pos="45000">
                    <a:schemeClr val="accent1">
                      <a:lumMod val="45000"/>
                      <a:lumOff val="55000"/>
                    </a:schemeClr>
                  </a:gs>
                  <a:gs pos="100000">
                    <a:srgbClr val="00B0F0"/>
                  </a:gs>
                </a:gsLst>
                <a:lin ang="10800000" scaled="1"/>
              </a:gradFill>
              <a:ln w="19050">
                <a:solidFill>
                  <a:schemeClr val="lt1"/>
                </a:solidFill>
              </a:ln>
              <a:effectLst/>
            </c:spPr>
            <c:extLst>
              <c:ext xmlns:c16="http://schemas.microsoft.com/office/drawing/2014/chart" uri="{C3380CC4-5D6E-409C-BE32-E72D297353CC}">
                <c16:uniqueId val="{00000005-E5C2-412A-B28E-EC4DC626366E}"/>
              </c:ext>
            </c:extLst>
          </c:dPt>
          <c:dPt>
            <c:idx val="3"/>
            <c:bubble3D val="0"/>
            <c:spPr>
              <a:gradFill>
                <a:gsLst>
                  <a:gs pos="0">
                    <a:srgbClr val="7030A0"/>
                  </a:gs>
                  <a:gs pos="100000">
                    <a:schemeClr val="accent1">
                      <a:lumMod val="20000"/>
                      <a:lumOff val="80000"/>
                    </a:schemeClr>
                  </a:gs>
                  <a:gs pos="100000">
                    <a:schemeClr val="accent4">
                      <a:lumMod val="75000"/>
                    </a:schemeClr>
                  </a:gs>
                </a:gsLst>
                <a:lin ang="5400000" scaled="1"/>
              </a:gradFill>
              <a:ln w="19050">
                <a:solidFill>
                  <a:schemeClr val="lt1"/>
                </a:solidFill>
              </a:ln>
              <a:effectLst/>
            </c:spPr>
            <c:extLst>
              <c:ext xmlns:c16="http://schemas.microsoft.com/office/drawing/2014/chart" uri="{C3380CC4-5D6E-409C-BE32-E72D297353CC}">
                <c16:uniqueId val="{00000007-E5C2-412A-B28E-EC4DC626366E}"/>
              </c:ext>
            </c:extLst>
          </c:dPt>
          <c:dPt>
            <c:idx val="4"/>
            <c:bubble3D val="0"/>
            <c:spPr>
              <a:gradFill>
                <a:gsLst>
                  <a:gs pos="0">
                    <a:srgbClr val="1F95B3"/>
                  </a:gs>
                  <a:gs pos="37000">
                    <a:srgbClr val="333F50"/>
                  </a:gs>
                  <a:gs pos="100000">
                    <a:srgbClr val="1F8CB3"/>
                  </a:gs>
                </a:gsLst>
                <a:lin ang="5400000" scaled="1"/>
              </a:gradFill>
              <a:ln w="19050">
                <a:solidFill>
                  <a:schemeClr val="lt1"/>
                </a:solidFill>
              </a:ln>
              <a:effectLst/>
            </c:spPr>
            <c:extLst>
              <c:ext xmlns:c16="http://schemas.microsoft.com/office/drawing/2014/chart" uri="{C3380CC4-5D6E-409C-BE32-E72D297353CC}">
                <c16:uniqueId val="{00000009-E5C2-412A-B28E-EC4DC626366E}"/>
              </c:ext>
            </c:extLst>
          </c:dPt>
          <c:dLbls>
            <c:dLbl>
              <c:idx val="0"/>
              <c:layout>
                <c:manualLayout>
                  <c:x val="0.13367092487900339"/>
                  <c:y val="2.8983669743381683E-2"/>
                </c:manualLayout>
              </c:layout>
              <c:tx>
                <c:rich>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Segoe UI Semibold" panose="020B0702040204020203" pitchFamily="34" charset="0"/>
                      </a:defRPr>
                    </a:pPr>
                    <a:r>
                      <a:rPr lang="en-US" sz="1400" b="0" i="0" u="none" strike="noStrike" kern="1200" baseline="0">
                        <a:solidFill>
                          <a:schemeClr val="tx1">
                            <a:lumMod val="75000"/>
                            <a:lumOff val="25000"/>
                          </a:schemeClr>
                        </a:solidFill>
                        <a:latin typeface="+mn-lt"/>
                        <a:ea typeface="+mn-ea"/>
                        <a:cs typeface="Segoe UI Semibold" panose="020B0702040204020203" pitchFamily="34" charset="0"/>
                      </a:rPr>
                      <a:t>5%</a:t>
                    </a:r>
                  </a:p>
                </c:rich>
              </c:tx>
              <c:numFmt formatCode="#,##0.00" sourceLinked="0"/>
              <c:spPr>
                <a:solidFill>
                  <a:srgbClr val="93CDDD"/>
                </a:solid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C2-412A-B28E-EC4DC626366E}"/>
                </c:ext>
              </c:extLst>
            </c:dLbl>
            <c:dLbl>
              <c:idx val="1"/>
              <c:layout>
                <c:manualLayout>
                  <c:x val="2.8226093525887789E-2"/>
                  <c:y val="0.11746728877168069"/>
                </c:manualLayout>
              </c:layout>
              <c:tx>
                <c:rich>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mn-cs"/>
                      </a:defRPr>
                    </a:pPr>
                    <a:r>
                      <a:rPr lang="en-US" sz="1400"/>
                      <a:t>3%</a:t>
                    </a:r>
                  </a:p>
                </c:rich>
              </c:tx>
              <c:spPr>
                <a:solidFill>
                  <a:srgbClr val="93CDDD"/>
                </a:solid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C2-412A-B28E-EC4DC626366E}"/>
                </c:ext>
              </c:extLst>
            </c:dLbl>
            <c:dLbl>
              <c:idx val="2"/>
              <c:layout>
                <c:manualLayout>
                  <c:x val="4.9075628880265947E-2"/>
                  <c:y val="-9.525813977076783E-2"/>
                </c:manualLayout>
              </c:layout>
              <c:tx>
                <c:rich>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mn-cs"/>
                      </a:defRPr>
                    </a:pPr>
                    <a:r>
                      <a:rPr lang="en-US" sz="1400"/>
                      <a:t>10%</a:t>
                    </a:r>
                  </a:p>
                </c:rich>
              </c:tx>
              <c:spPr>
                <a:solidFill>
                  <a:srgbClr val="93CDDD"/>
                </a:solid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5C2-412A-B28E-EC4DC626366E}"/>
                </c:ext>
              </c:extLst>
            </c:dLbl>
            <c:dLbl>
              <c:idx val="3"/>
              <c:layout>
                <c:manualLayout>
                  <c:x val="-1.9854682929146897E-2"/>
                  <c:y val="3.3698575416529146E-2"/>
                </c:manualLayout>
              </c:layout>
              <c:tx>
                <c:rich>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mn-cs"/>
                      </a:defRPr>
                    </a:pPr>
                    <a:r>
                      <a:rPr lang="en-US" sz="1400"/>
                      <a:t>4%</a:t>
                    </a:r>
                  </a:p>
                </c:rich>
              </c:tx>
              <c:spPr>
                <a:solidFill>
                  <a:srgbClr val="93CDDD"/>
                </a:solid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5C2-412A-B28E-EC4DC626366E}"/>
                </c:ext>
              </c:extLst>
            </c:dLbl>
            <c:dLbl>
              <c:idx val="4"/>
              <c:layout>
                <c:manualLayout>
                  <c:x val="-8.4555712270803954E-2"/>
                  <c:y val="0.22542854230492612"/>
                </c:manualLayout>
              </c:layout>
              <c:tx>
                <c:rich>
                  <a:bodyPr rot="0" spcFirstLastPara="1" vertOverflow="ellipsis" vert="horz" wrap="square" lIns="38100" tIns="19050" rIns="38100" bIns="19050" anchor="ctr" anchorCtr="0">
                    <a:spAutoFit/>
                  </a:bodyPr>
                  <a:lstStyle/>
                  <a:p>
                    <a:pPr algn="ctr">
                      <a:defRPr lang="en-US" sz="600" b="0" i="0" u="none" strike="noStrike" kern="1200" baseline="0">
                        <a:solidFill>
                          <a:schemeClr val="tx1">
                            <a:lumMod val="75000"/>
                            <a:lumOff val="25000"/>
                          </a:schemeClr>
                        </a:solidFill>
                        <a:latin typeface="+mn-lt"/>
                        <a:ea typeface="+mn-ea"/>
                        <a:cs typeface="+mn-cs"/>
                      </a:defRPr>
                    </a:pPr>
                    <a:r>
                      <a:rPr lang="en-US" sz="1400"/>
                      <a:t>8%</a:t>
                    </a:r>
                  </a:p>
                </c:rich>
              </c:tx>
              <c:spPr>
                <a:solidFill>
                  <a:srgbClr val="93CDDD"/>
                </a:solid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5C2-412A-B28E-EC4DC626366E}"/>
                </c:ext>
              </c:extLst>
            </c:dLbl>
            <c:spPr>
              <a:solidFill>
                <a:srgbClr val="93CDDD"/>
              </a:solidFill>
              <a:ln>
                <a:noFill/>
              </a:ln>
              <a:effectLst/>
            </c:spPr>
            <c:txPr>
              <a:bodyPr rot="0" spcFirstLastPara="1" vertOverflow="ellipsis" vert="horz" wrap="square" lIns="38100" tIns="19050" rIns="38100" bIns="19050" anchor="ctr" anchorCtr="0">
                <a:spAutoFit/>
              </a:bodyPr>
              <a:lstStyle/>
              <a:p>
                <a:pPr algn="ctr">
                  <a:defRPr lang="en-US"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pivot_Table!$A$35:$A$40</c:f>
              <c:strCache>
                <c:ptCount val="5"/>
                <c:pt idx="0">
                  <c:v>Central</c:v>
                </c:pt>
                <c:pt idx="1">
                  <c:v>East</c:v>
                </c:pt>
                <c:pt idx="2">
                  <c:v>North</c:v>
                </c:pt>
                <c:pt idx="3">
                  <c:v>South</c:v>
                </c:pt>
                <c:pt idx="4">
                  <c:v>West</c:v>
                </c:pt>
              </c:strCache>
            </c:strRef>
          </c:cat>
          <c:val>
            <c:numRef>
              <c:f>pivot_Table!$B$35:$B$40</c:f>
              <c:numCache>
                <c:formatCode>0.00%</c:formatCode>
                <c:ptCount val="5"/>
                <c:pt idx="0">
                  <c:v>0.05</c:v>
                </c:pt>
                <c:pt idx="1">
                  <c:v>0.03</c:v>
                </c:pt>
                <c:pt idx="2">
                  <c:v>0.1</c:v>
                </c:pt>
                <c:pt idx="3">
                  <c:v>0.04</c:v>
                </c:pt>
                <c:pt idx="4">
                  <c:v>0.08</c:v>
                </c:pt>
              </c:numCache>
            </c:numRef>
          </c:val>
          <c:extLst>
            <c:ext xmlns:c16="http://schemas.microsoft.com/office/drawing/2014/chart" uri="{C3380CC4-5D6E-409C-BE32-E72D297353CC}">
              <c16:uniqueId val="{0000000A-E5C2-412A-B28E-EC4DC626366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267345527141614"/>
          <c:y val="0.15923012929549038"/>
          <c:w val="0.23857605975108034"/>
          <c:h val="0.698086202639590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[newgit (Recovered).xlsx]pivot_Table!PivotTable13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333F50"/>
              </a:gs>
              <a:gs pos="48000">
                <a:srgbClr val="1F95B3"/>
              </a:gs>
              <a:gs pos="100000">
                <a:srgbClr val="1F95B3"/>
              </a:gs>
            </a:gsLst>
            <a:lin ang="5400000" scaled="1"/>
          </a:gradFill>
          <a:ln w="0" cmpd="tri">
            <a:solidFill>
              <a:schemeClr val="accent1">
                <a:shade val="15000"/>
              </a:schemeClr>
            </a:solidFill>
          </a:ln>
          <a:effectLst/>
        </c:spPr>
        <c:marker>
          <c:symbol val="none"/>
        </c:marker>
        <c:dLbl>
          <c:idx val="0"/>
          <c:spPr>
            <a:solidFill>
              <a:srgbClr val="93CDD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333F50"/>
              </a:gs>
              <a:gs pos="48000">
                <a:srgbClr val="1F95B3"/>
              </a:gs>
              <a:gs pos="100000">
                <a:srgbClr val="1F95B3"/>
              </a:gs>
            </a:gsLst>
            <a:lin ang="5400000" scaled="1"/>
          </a:gradFill>
          <a:ln w="0" cmpd="tri">
            <a:solidFill>
              <a:schemeClr val="accent1">
                <a:shade val="15000"/>
              </a:schemeClr>
            </a:solidFill>
          </a:ln>
          <a:effectLst/>
        </c:spPr>
      </c:pivotFmt>
      <c:pivotFmt>
        <c:idx val="4"/>
        <c:spPr>
          <a:gradFill>
            <a:gsLst>
              <a:gs pos="0">
                <a:srgbClr val="333F50"/>
              </a:gs>
              <a:gs pos="48000">
                <a:srgbClr val="1F95B3"/>
              </a:gs>
              <a:gs pos="100000">
                <a:srgbClr val="1F95B3"/>
              </a:gs>
            </a:gsLst>
            <a:lin ang="5400000" scaled="1"/>
          </a:gradFill>
          <a:ln w="0" cmpd="tri">
            <a:solidFill>
              <a:schemeClr val="accent1">
                <a:shade val="15000"/>
              </a:schemeClr>
            </a:solidFill>
          </a:ln>
          <a:effectLst/>
        </c:spPr>
      </c:pivotFmt>
      <c:pivotFmt>
        <c:idx val="5"/>
        <c:spPr>
          <a:gradFill>
            <a:gsLst>
              <a:gs pos="0">
                <a:srgbClr val="333F50"/>
              </a:gs>
              <a:gs pos="48000">
                <a:srgbClr val="1F95B3"/>
              </a:gs>
              <a:gs pos="100000">
                <a:srgbClr val="1F95B3"/>
              </a:gs>
            </a:gsLst>
            <a:lin ang="5400000" scaled="1"/>
          </a:gradFill>
          <a:ln w="0" cmpd="tri">
            <a:solidFill>
              <a:schemeClr val="accent1">
                <a:shade val="15000"/>
              </a:schemeClr>
            </a:solidFill>
          </a:ln>
          <a:effectLst/>
        </c:spPr>
      </c:pivotFmt>
      <c:pivotFmt>
        <c:idx val="6"/>
        <c:spPr>
          <a:gradFill>
            <a:gsLst>
              <a:gs pos="0">
                <a:srgbClr val="333F50"/>
              </a:gs>
              <a:gs pos="48000">
                <a:srgbClr val="1F95B3"/>
              </a:gs>
              <a:gs pos="100000">
                <a:srgbClr val="1F95B3"/>
              </a:gs>
            </a:gsLst>
            <a:lin ang="5400000" scaled="1"/>
          </a:gradFill>
          <a:ln w="0" cmpd="tri">
            <a:solidFill>
              <a:schemeClr val="accent1">
                <a:shade val="15000"/>
              </a:schemeClr>
            </a:solidFill>
          </a:ln>
          <a:effectLst/>
        </c:spPr>
      </c:pivotFmt>
      <c:pivotFmt>
        <c:idx val="7"/>
        <c:spPr>
          <a:gradFill>
            <a:gsLst>
              <a:gs pos="0">
                <a:srgbClr val="333F50"/>
              </a:gs>
              <a:gs pos="48000">
                <a:srgbClr val="1F95B3"/>
              </a:gs>
              <a:gs pos="100000">
                <a:srgbClr val="1F95B3"/>
              </a:gs>
            </a:gsLst>
            <a:lin ang="5400000" scaled="1"/>
          </a:gradFill>
          <a:ln w="0" cmpd="tri">
            <a:solidFill>
              <a:schemeClr val="accent1">
                <a:shade val="15000"/>
              </a:schemeClr>
            </a:solidFill>
          </a:ln>
          <a:effectLst/>
        </c:spPr>
      </c:pivotFmt>
    </c:pivotFmts>
    <c:plotArea>
      <c:layout>
        <c:manualLayout>
          <c:layoutTarget val="inner"/>
          <c:xMode val="edge"/>
          <c:yMode val="edge"/>
          <c:x val="1.9894046576285164E-2"/>
          <c:y val="0.19926972486381012"/>
          <c:w val="0.88235180179857731"/>
          <c:h val="0.65341259969482501"/>
        </c:manualLayout>
      </c:layout>
      <c:barChart>
        <c:barDir val="col"/>
        <c:grouping val="clustered"/>
        <c:varyColors val="0"/>
        <c:ser>
          <c:idx val="0"/>
          <c:order val="0"/>
          <c:tx>
            <c:strRef>
              <c:f>pivot_Table!$R$49</c:f>
              <c:strCache>
                <c:ptCount val="1"/>
                <c:pt idx="0">
                  <c:v>Total</c:v>
                </c:pt>
              </c:strCache>
            </c:strRef>
          </c:tx>
          <c:spPr>
            <a:gradFill>
              <a:gsLst>
                <a:gs pos="0">
                  <a:srgbClr val="333F50"/>
                </a:gs>
                <a:gs pos="48000">
                  <a:srgbClr val="1F95B3"/>
                </a:gs>
                <a:gs pos="100000">
                  <a:srgbClr val="1F95B3"/>
                </a:gs>
              </a:gsLst>
              <a:lin ang="5400000" scaled="1"/>
            </a:gradFill>
            <a:ln w="0" cmpd="tri">
              <a:solidFill>
                <a:schemeClr val="accent1">
                  <a:shade val="15000"/>
                </a:schemeClr>
              </a:solidFill>
            </a:ln>
            <a:effectLst/>
          </c:spPr>
          <c:invertIfNegative val="0"/>
          <c:dLbls>
            <c:spPr>
              <a:solidFill>
                <a:srgbClr val="93CDD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pivot_Table!$Q$50:$Q$55</c:f>
              <c:strCache>
                <c:ptCount val="5"/>
                <c:pt idx="0">
                  <c:v>Amazon Pay</c:v>
                </c:pt>
                <c:pt idx="1">
                  <c:v>Apple Pay</c:v>
                </c:pt>
                <c:pt idx="2">
                  <c:v>Credit Card</c:v>
                </c:pt>
                <c:pt idx="3">
                  <c:v>Debit Card</c:v>
                </c:pt>
                <c:pt idx="4">
                  <c:v>PayPal</c:v>
                </c:pt>
              </c:strCache>
            </c:strRef>
          </c:cat>
          <c:val>
            <c:numRef>
              <c:f>pivot_Table!$R$50:$R$55</c:f>
              <c:numCache>
                <c:formatCode>[$$-45C]#,##0.00</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0-F4A2-4D48-90C9-7F0A83340085}"/>
            </c:ext>
          </c:extLst>
        </c:ser>
        <c:dLbls>
          <c:showLegendKey val="0"/>
          <c:showVal val="0"/>
          <c:showCatName val="0"/>
          <c:showSerName val="0"/>
          <c:showPercent val="0"/>
          <c:showBubbleSize val="0"/>
        </c:dLbls>
        <c:gapWidth val="500"/>
        <c:overlap val="12"/>
        <c:axId val="1099860863"/>
        <c:axId val="1099864223"/>
      </c:barChart>
      <c:catAx>
        <c:axId val="109986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099864223"/>
        <c:crosses val="autoZero"/>
        <c:auto val="1"/>
        <c:lblAlgn val="ctr"/>
        <c:lblOffset val="100"/>
        <c:noMultiLvlLbl val="0"/>
      </c:catAx>
      <c:valAx>
        <c:axId val="1099864223"/>
        <c:scaling>
          <c:orientation val="minMax"/>
        </c:scaling>
        <c:delete val="1"/>
        <c:axPos val="l"/>
        <c:numFmt formatCode="[$$-45C]#,##0.00" sourceLinked="1"/>
        <c:majorTickMark val="none"/>
        <c:minorTickMark val="none"/>
        <c:tickLblPos val="nextTo"/>
        <c:crossAx val="109986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[newgit (Recovered).xlsx]pivot_Table!PivotTable12</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333F50"/>
              </a:gs>
              <a:gs pos="33000">
                <a:srgbClr val="257A94"/>
              </a:gs>
            </a:gsLst>
            <a:path path="circle">
              <a:fillToRect l="100000" b="100000"/>
            </a:path>
            <a:tileRect t="-100000" r="-100000"/>
          </a:gradFill>
          <a:ln>
            <a:noFill/>
          </a:ln>
          <a:effectLst/>
        </c:spPr>
        <c:marker>
          <c:symbol val="none"/>
        </c:marker>
        <c:dLbl>
          <c:idx val="0"/>
          <c:spPr>
            <a:solidFill>
              <a:srgbClr val="93CDDD"/>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333F50"/>
              </a:gs>
              <a:gs pos="33000">
                <a:srgbClr val="257A94"/>
              </a:gs>
            </a:gsLst>
            <a:path path="circle">
              <a:fillToRect l="100000" b="100000"/>
            </a:path>
            <a:tileRect t="-100000" r="-100000"/>
          </a:gradFill>
          <a:ln>
            <a:noFill/>
          </a:ln>
          <a:effectLst/>
        </c:spPr>
        <c:dLbl>
          <c:idx val="0"/>
          <c:layout>
            <c:manualLayout>
              <c:x val="6.954766499875485E-3"/>
              <c:y val="-0.3647077088476619"/>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333F50"/>
              </a:gs>
              <a:gs pos="33000">
                <a:srgbClr val="257A94"/>
              </a:gs>
            </a:gsLst>
            <a:path path="circle">
              <a:fillToRect l="100000" b="100000"/>
            </a:path>
            <a:tileRect t="-100000" r="-100000"/>
          </a:gradFill>
          <a:ln>
            <a:noFill/>
          </a:ln>
          <a:effectLst/>
        </c:spPr>
        <c:dLbl>
          <c:idx val="0"/>
          <c:layout>
            <c:manualLayout>
              <c:x val="-1.5648224624719841E-2"/>
              <c:y val="-0.3761048247491513"/>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333F50"/>
              </a:gs>
              <a:gs pos="33000">
                <a:srgbClr val="257A94"/>
              </a:gs>
            </a:gsLst>
            <a:path path="circle">
              <a:fillToRect l="100000" b="100000"/>
            </a:path>
            <a:tileRect t="-100000" r="-100000"/>
          </a:gradFill>
          <a:ln>
            <a:noFill/>
          </a:ln>
          <a:effectLst/>
        </c:spPr>
        <c:dLbl>
          <c:idx val="0"/>
          <c:layout>
            <c:manualLayout>
              <c:x val="-1.390953299975097E-2"/>
              <c:y val="-0.3647077088476619"/>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333F50"/>
              </a:gs>
              <a:gs pos="33000">
                <a:srgbClr val="257A94"/>
              </a:gs>
            </a:gsLst>
            <a:path path="circle">
              <a:fillToRect l="100000" b="100000"/>
            </a:path>
            <a:tileRect t="-100000" r="-100000"/>
          </a:gradFill>
          <a:ln>
            <a:noFill/>
          </a:ln>
          <a:effectLst/>
        </c:spPr>
        <c:dLbl>
          <c:idx val="0"/>
          <c:layout>
            <c:manualLayout>
              <c:x val="1.7386916249688713E-3"/>
              <c:y val="-0.20514808622680974"/>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333F50"/>
              </a:gs>
              <a:gs pos="33000">
                <a:srgbClr val="257A94"/>
              </a:gs>
            </a:gsLst>
            <a:path path="circle">
              <a:fillToRect l="100000" b="100000"/>
            </a:path>
            <a:tileRect t="-100000" r="-100000"/>
          </a:gradFill>
          <a:ln>
            <a:noFill/>
          </a:ln>
          <a:effectLst/>
        </c:spPr>
        <c:dLbl>
          <c:idx val="0"/>
          <c:layout>
            <c:manualLayout>
              <c:x val="0"/>
              <c:y val="-0.19375097032532035"/>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333F50"/>
              </a:gs>
              <a:gs pos="33000">
                <a:srgbClr val="257A94"/>
              </a:gs>
            </a:gsLst>
            <a:path path="circle">
              <a:fillToRect l="100000" b="100000"/>
            </a:path>
            <a:tileRect t="-100000" r="-100000"/>
          </a:gradFill>
          <a:ln>
            <a:noFill/>
          </a:ln>
          <a:effectLst/>
        </c:spPr>
        <c:dLbl>
          <c:idx val="0"/>
          <c:layout>
            <c:manualLayout>
              <c:x val="-5.2160748749066135E-3"/>
              <c:y val="-0.43309040425659845"/>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333F50"/>
              </a:gs>
              <a:gs pos="33000">
                <a:srgbClr val="257A94"/>
              </a:gs>
            </a:gsLst>
            <a:path path="circle">
              <a:fillToRect l="100000" b="100000"/>
            </a:path>
            <a:tileRect t="-100000" r="-100000"/>
          </a:gradFill>
          <a:ln>
            <a:noFill/>
          </a:ln>
          <a:effectLst/>
        </c:spPr>
        <c:dLbl>
          <c:idx val="0"/>
          <c:layout>
            <c:manualLayout>
              <c:x val="0"/>
              <c:y val="-0.43309040425659845"/>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rgbClr val="333F50"/>
              </a:gs>
              <a:gs pos="33000">
                <a:srgbClr val="257A94"/>
              </a:gs>
            </a:gsLst>
            <a:path path="circle">
              <a:fillToRect l="100000" b="100000"/>
            </a:path>
            <a:tileRect t="-100000" r="-100000"/>
          </a:gradFill>
          <a:ln>
            <a:noFill/>
          </a:ln>
          <a:effectLst/>
        </c:spPr>
        <c:dLbl>
          <c:idx val="0"/>
          <c:layout>
            <c:manualLayout>
              <c:x val="-1.0432149749813227E-2"/>
              <c:y val="-0.3533105929461724"/>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333F50"/>
              </a:gs>
              <a:gs pos="33000">
                <a:srgbClr val="257A94"/>
              </a:gs>
            </a:gsLst>
            <a:path path="circle">
              <a:fillToRect l="100000" b="100000"/>
            </a:path>
            <a:tileRect t="-100000" r="-100000"/>
          </a:gradFill>
          <a:ln>
            <a:noFill/>
          </a:ln>
          <a:effectLst/>
        </c:spPr>
        <c:dLbl>
          <c:idx val="0"/>
          <c:layout>
            <c:manualLayout>
              <c:x val="-1.7386916249688713E-3"/>
              <c:y val="-0.341913477044683"/>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rgbClr val="333F50"/>
              </a:gs>
              <a:gs pos="33000">
                <a:srgbClr val="257A94"/>
              </a:gs>
            </a:gsLst>
            <a:path path="circle">
              <a:fillToRect l="100000" b="100000"/>
            </a:path>
            <a:tileRect t="-100000" r="-100000"/>
          </a:gradFill>
          <a:ln>
            <a:noFill/>
          </a:ln>
          <a:effectLst/>
        </c:spPr>
        <c:dLbl>
          <c:idx val="0"/>
          <c:layout>
            <c:manualLayout>
              <c:x val="0"/>
              <c:y val="-0.22794231802978876"/>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rgbClr val="333F50"/>
              </a:gs>
              <a:gs pos="33000">
                <a:srgbClr val="257A94"/>
              </a:gs>
            </a:gsLst>
            <a:path path="circle">
              <a:fillToRect l="100000" b="100000"/>
            </a:path>
            <a:tileRect t="-100000" r="-100000"/>
          </a:gradFill>
          <a:ln>
            <a:noFill/>
          </a:ln>
          <a:effectLst/>
        </c:spPr>
        <c:dLbl>
          <c:idx val="0"/>
          <c:layout>
            <c:manualLayout>
              <c:x val="0"/>
              <c:y val="-0.2963250134387253"/>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fld id="{6DF64E4D-43A4-421C-B461-D96DDCAE63B2}" type="VALUE">
                  <a:rPr lang="en-US" sz="900"/>
                  <a:pPr>
                    <a:defRPr sz="1000">
                      <a:latin typeface="Bahnschrift SemiBold" panose="020B0502040204020203" pitchFamily="34" charset="0"/>
                      <a:cs typeface="Segoe UI Semibold" panose="020B0702040204020203" pitchFamily="34" charset="0"/>
                    </a:defRPr>
                  </a:pPr>
                  <a:t>[VALUE]</a:t>
                </a:fld>
                <a:endParaRPr lang="en-IN"/>
              </a:p>
            </c:rich>
          </c:tx>
          <c:spPr>
            <a:solidFill>
              <a:srgbClr val="93CDDD"/>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gradFill flip="none" rotWithShape="1">
            <a:gsLst>
              <a:gs pos="0">
                <a:srgbClr val="333F50"/>
              </a:gs>
              <a:gs pos="33000">
                <a:srgbClr val="257A94"/>
              </a:gs>
            </a:gsLst>
            <a:path path="circle">
              <a:fillToRect l="100000" b="100000"/>
            </a:path>
            <a:tileRect t="-100000" r="-100000"/>
          </a:gradFill>
          <a:ln>
            <a:noFill/>
          </a:ln>
          <a:effectLst/>
        </c:spPr>
        <c:dLbl>
          <c:idx val="0"/>
          <c:layout>
            <c:manualLayout>
              <c:x val="5.2160748749066101E-3"/>
              <c:y val="-0.3077221293402147"/>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220863218894263E-2"/>
          <c:y val="4.6463768778725448E-2"/>
          <c:w val="0.97423782320275576"/>
          <c:h val="0.83219768870836519"/>
        </c:manualLayout>
      </c:layout>
      <c:areaChart>
        <c:grouping val="standard"/>
        <c:varyColors val="0"/>
        <c:ser>
          <c:idx val="0"/>
          <c:order val="0"/>
          <c:tx>
            <c:strRef>
              <c:f>pivot_Table!$L$49</c:f>
              <c:strCache>
                <c:ptCount val="1"/>
                <c:pt idx="0">
                  <c:v>Total</c:v>
                </c:pt>
              </c:strCache>
            </c:strRef>
          </c:tx>
          <c:spPr>
            <a:gradFill flip="none" rotWithShape="1">
              <a:gsLst>
                <a:gs pos="0">
                  <a:srgbClr val="333F50"/>
                </a:gs>
                <a:gs pos="33000">
                  <a:srgbClr val="257A94"/>
                </a:gs>
              </a:gsLst>
              <a:path path="circle">
                <a:fillToRect l="100000" b="100000"/>
              </a:path>
              <a:tileRect t="-100000" r="-100000"/>
            </a:gradFill>
            <a:ln>
              <a:noFill/>
            </a:ln>
            <a:effectLst/>
          </c:spPr>
          <c:dPt>
            <c:idx val="0"/>
            <c:bubble3D val="0"/>
            <c:extLst>
              <c:ext xmlns:c16="http://schemas.microsoft.com/office/drawing/2014/chart" uri="{C3380CC4-5D6E-409C-BE32-E72D297353CC}">
                <c16:uniqueId val="{00000006-8E89-475A-BE77-1E477EC40F29}"/>
              </c:ext>
            </c:extLst>
          </c:dPt>
          <c:dPt>
            <c:idx val="1"/>
            <c:bubble3D val="0"/>
            <c:extLst>
              <c:ext xmlns:c16="http://schemas.microsoft.com/office/drawing/2014/chart" uri="{C3380CC4-5D6E-409C-BE32-E72D297353CC}">
                <c16:uniqueId val="{00000005-8E89-475A-BE77-1E477EC40F29}"/>
              </c:ext>
            </c:extLst>
          </c:dPt>
          <c:dPt>
            <c:idx val="2"/>
            <c:bubble3D val="0"/>
            <c:extLst>
              <c:ext xmlns:c16="http://schemas.microsoft.com/office/drawing/2014/chart" uri="{C3380CC4-5D6E-409C-BE32-E72D297353CC}">
                <c16:uniqueId val="{00000004-8E89-475A-BE77-1E477EC40F29}"/>
              </c:ext>
            </c:extLst>
          </c:dPt>
          <c:dPt>
            <c:idx val="3"/>
            <c:bubble3D val="0"/>
            <c:extLst>
              <c:ext xmlns:c16="http://schemas.microsoft.com/office/drawing/2014/chart" uri="{C3380CC4-5D6E-409C-BE32-E72D297353CC}">
                <c16:uniqueId val="{00000003-8E89-475A-BE77-1E477EC40F29}"/>
              </c:ext>
            </c:extLst>
          </c:dPt>
          <c:dPt>
            <c:idx val="4"/>
            <c:bubble3D val="0"/>
            <c:extLst>
              <c:ext xmlns:c16="http://schemas.microsoft.com/office/drawing/2014/chart" uri="{C3380CC4-5D6E-409C-BE32-E72D297353CC}">
                <c16:uniqueId val="{00000002-8E89-475A-BE77-1E477EC40F29}"/>
              </c:ext>
            </c:extLst>
          </c:dPt>
          <c:dPt>
            <c:idx val="5"/>
            <c:bubble3D val="0"/>
            <c:extLst>
              <c:ext xmlns:c16="http://schemas.microsoft.com/office/drawing/2014/chart" uri="{C3380CC4-5D6E-409C-BE32-E72D297353CC}">
                <c16:uniqueId val="{00000001-8E89-475A-BE77-1E477EC40F29}"/>
              </c:ext>
            </c:extLst>
          </c:dPt>
          <c:dPt>
            <c:idx val="6"/>
            <c:bubble3D val="0"/>
            <c:extLst>
              <c:ext xmlns:c16="http://schemas.microsoft.com/office/drawing/2014/chart" uri="{C3380CC4-5D6E-409C-BE32-E72D297353CC}">
                <c16:uniqueId val="{00000000-8E89-475A-BE77-1E477EC40F29}"/>
              </c:ext>
            </c:extLst>
          </c:dPt>
          <c:dPt>
            <c:idx val="7"/>
            <c:bubble3D val="0"/>
            <c:extLst>
              <c:ext xmlns:c16="http://schemas.microsoft.com/office/drawing/2014/chart" uri="{C3380CC4-5D6E-409C-BE32-E72D297353CC}">
                <c16:uniqueId val="{00000005-57C0-4D7E-BBE7-C9CED0E6145C}"/>
              </c:ext>
            </c:extLst>
          </c:dPt>
          <c:dPt>
            <c:idx val="8"/>
            <c:bubble3D val="0"/>
            <c:extLst>
              <c:ext xmlns:c16="http://schemas.microsoft.com/office/drawing/2014/chart" uri="{C3380CC4-5D6E-409C-BE32-E72D297353CC}">
                <c16:uniqueId val="{00000004-57C0-4D7E-BBE7-C9CED0E6145C}"/>
              </c:ext>
            </c:extLst>
          </c:dPt>
          <c:dPt>
            <c:idx val="9"/>
            <c:bubble3D val="0"/>
            <c:extLst>
              <c:ext xmlns:c16="http://schemas.microsoft.com/office/drawing/2014/chart" uri="{C3380CC4-5D6E-409C-BE32-E72D297353CC}">
                <c16:uniqueId val="{00000003-57C0-4D7E-BBE7-C9CED0E6145C}"/>
              </c:ext>
            </c:extLst>
          </c:dPt>
          <c:dPt>
            <c:idx val="10"/>
            <c:bubble3D val="0"/>
            <c:extLst>
              <c:ext xmlns:c16="http://schemas.microsoft.com/office/drawing/2014/chart" uri="{C3380CC4-5D6E-409C-BE32-E72D297353CC}">
                <c16:uniqueId val="{00000002-57C0-4D7E-BBE7-C9CED0E6145C}"/>
              </c:ext>
            </c:extLst>
          </c:dPt>
          <c:dPt>
            <c:idx val="11"/>
            <c:bubble3D val="0"/>
            <c:extLst>
              <c:ext xmlns:c16="http://schemas.microsoft.com/office/drawing/2014/chart" uri="{C3380CC4-5D6E-409C-BE32-E72D297353CC}">
                <c16:uniqueId val="{00000001-57C0-4D7E-BBE7-C9CED0E6145C}"/>
              </c:ext>
            </c:extLst>
          </c:dPt>
          <c:dLbls>
            <c:dLbl>
              <c:idx val="0"/>
              <c:layout>
                <c:manualLayout>
                  <c:x val="5.2160748749066101E-3"/>
                  <c:y val="-0.3077221293402147"/>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E89-475A-BE77-1E477EC40F29}"/>
                </c:ext>
              </c:extLst>
            </c:dLbl>
            <c:dLbl>
              <c:idx val="1"/>
              <c:layout>
                <c:manualLayout>
                  <c:x val="0"/>
                  <c:y val="-0.2963250134387253"/>
                </c:manualLayout>
              </c:layout>
              <c:tx>
                <c:rich>
                  <a:bodyPr/>
                  <a:lstStyle/>
                  <a:p>
                    <a:fld id="{6DF64E4D-43A4-421C-B461-D96DDCAE63B2}" type="VALUE">
                      <a:rPr lang="en-US" sz="9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E89-475A-BE77-1E477EC40F29}"/>
                </c:ext>
              </c:extLst>
            </c:dLbl>
            <c:dLbl>
              <c:idx val="2"/>
              <c:layout>
                <c:manualLayout>
                  <c:x val="0"/>
                  <c:y val="-0.22794231802978876"/>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E89-475A-BE77-1E477EC40F29}"/>
                </c:ext>
              </c:extLst>
            </c:dLbl>
            <c:dLbl>
              <c:idx val="3"/>
              <c:layout>
                <c:manualLayout>
                  <c:x val="-1.7386916249688713E-3"/>
                  <c:y val="-0.341913477044683"/>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89-475A-BE77-1E477EC40F29}"/>
                </c:ext>
              </c:extLst>
            </c:dLbl>
            <c:dLbl>
              <c:idx val="4"/>
              <c:layout>
                <c:manualLayout>
                  <c:x val="-1.0432149749813227E-2"/>
                  <c:y val="-0.3533105929461724"/>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E89-475A-BE77-1E477EC40F29}"/>
                </c:ext>
              </c:extLst>
            </c:dLbl>
            <c:dLbl>
              <c:idx val="5"/>
              <c:layout>
                <c:manualLayout>
                  <c:x val="0"/>
                  <c:y val="-0.43309040425659845"/>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89-475A-BE77-1E477EC40F29}"/>
                </c:ext>
              </c:extLst>
            </c:dLbl>
            <c:dLbl>
              <c:idx val="6"/>
              <c:layout>
                <c:manualLayout>
                  <c:x val="-5.2160748749066135E-3"/>
                  <c:y val="-0.43309040425659845"/>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E89-475A-BE77-1E477EC40F29}"/>
                </c:ext>
              </c:extLst>
            </c:dLbl>
            <c:dLbl>
              <c:idx val="7"/>
              <c:layout>
                <c:manualLayout>
                  <c:x val="0"/>
                  <c:y val="-0.19375097032532035"/>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C0-4D7E-BBE7-C9CED0E6145C}"/>
                </c:ext>
              </c:extLst>
            </c:dLbl>
            <c:dLbl>
              <c:idx val="8"/>
              <c:layout>
                <c:manualLayout>
                  <c:x val="1.7386916249688713E-3"/>
                  <c:y val="-0.20514808622680974"/>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7C0-4D7E-BBE7-C9CED0E6145C}"/>
                </c:ext>
              </c:extLst>
            </c:dLbl>
            <c:dLbl>
              <c:idx val="9"/>
              <c:layout>
                <c:manualLayout>
                  <c:x val="-1.390953299975097E-2"/>
                  <c:y val="-0.3647077088476619"/>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C0-4D7E-BBE7-C9CED0E6145C}"/>
                </c:ext>
              </c:extLst>
            </c:dLbl>
            <c:dLbl>
              <c:idx val="10"/>
              <c:layout>
                <c:manualLayout>
                  <c:x val="-1.5648224624719841E-2"/>
                  <c:y val="-0.3761048247491513"/>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C0-4D7E-BBE7-C9CED0E6145C}"/>
                </c:ext>
              </c:extLst>
            </c:dLbl>
            <c:dLbl>
              <c:idx val="11"/>
              <c:layout>
                <c:manualLayout>
                  <c:x val="6.954766499875485E-3"/>
                  <c:y val="-0.3647077088476619"/>
                </c:manualLayout>
              </c:layout>
              <c:spPr>
                <a:solidFill>
                  <a:srgbClr val="93CDD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C0-4D7E-BBE7-C9CED0E6145C}"/>
                </c:ext>
              </c:extLst>
            </c:dLbl>
            <c:spPr>
              <a:solidFill>
                <a:srgbClr val="93CDDD"/>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Bahnschrift SemiBold" panose="020B05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pivot_Table!$K$50:$K$62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pivot_Table!$L$50:$L$62</c:f>
              <c:numCache>
                <c:formatCode>[$$-45C]#,##0.00</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extLst>
            <c:ext xmlns:c16="http://schemas.microsoft.com/office/drawing/2014/chart" uri="{C3380CC4-5D6E-409C-BE32-E72D297353CC}">
              <c16:uniqueId val="{00000000-57C0-4D7E-BBE7-C9CED0E6145C}"/>
            </c:ext>
          </c:extLst>
        </c:ser>
        <c:dLbls>
          <c:showLegendKey val="0"/>
          <c:showVal val="0"/>
          <c:showCatName val="0"/>
          <c:showSerName val="0"/>
          <c:showPercent val="0"/>
          <c:showBubbleSize val="0"/>
        </c:dLbls>
        <c:axId val="967460575"/>
        <c:axId val="967459135"/>
      </c:areaChart>
      <c:catAx>
        <c:axId val="967460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67459135"/>
        <c:crosses val="autoZero"/>
        <c:auto val="1"/>
        <c:lblAlgn val="ctr"/>
        <c:lblOffset val="100"/>
        <c:noMultiLvlLbl val="0"/>
      </c:catAx>
      <c:valAx>
        <c:axId val="967459135"/>
        <c:scaling>
          <c:orientation val="minMax"/>
        </c:scaling>
        <c:delete val="1"/>
        <c:axPos val="l"/>
        <c:numFmt formatCode="[$$-45C]#,##0.00" sourceLinked="1"/>
        <c:majorTickMark val="none"/>
        <c:minorTickMark val="none"/>
        <c:tickLblPos val="nextTo"/>
        <c:crossAx val="9674605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hyperlink" Target="#AmazonSales!A1"/><Relationship Id="rId17"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6.png"/><Relationship Id="rId5" Type="http://schemas.openxmlformats.org/officeDocument/2006/relationships/chart" Target="../charts/chart5.xml"/><Relationship Id="rId15" Type="http://schemas.openxmlformats.org/officeDocument/2006/relationships/hyperlink" Target="#pivot_Table!A1"/><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492868</xdr:colOff>
      <xdr:row>15</xdr:row>
      <xdr:rowOff>54719</xdr:rowOff>
    </xdr:from>
    <xdr:to>
      <xdr:col>10</xdr:col>
      <xdr:colOff>1095083</xdr:colOff>
      <xdr:row>24</xdr:row>
      <xdr:rowOff>27019</xdr:rowOff>
    </xdr:to>
    <mc:AlternateContent xmlns:mc="http://schemas.openxmlformats.org/markup-compatibility/2006" xmlns:a14="http://schemas.microsoft.com/office/drawing/2010/main">
      <mc:Choice Requires="a14">
        <xdr:graphicFrame macro="">
          <xdr:nvGraphicFramePr>
            <xdr:cNvPr id="2" name="Payment Method">
              <a:extLst>
                <a:ext uri="{FF2B5EF4-FFF2-40B4-BE49-F238E27FC236}">
                  <a16:creationId xmlns:a16="http://schemas.microsoft.com/office/drawing/2014/main" id="{EDE2414F-712A-3EC4-692A-27A366AC0BA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7069171" y="3064214"/>
              <a:ext cx="1820424" cy="1705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219075</xdr:colOff>
      <xdr:row>15</xdr:row>
      <xdr:rowOff>114301</xdr:rowOff>
    </xdr:from>
    <xdr:to>
      <xdr:col>12</xdr:col>
      <xdr:colOff>23089</xdr:colOff>
      <xdr:row>24</xdr:row>
      <xdr:rowOff>48501</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516A84DA-8587-6AEA-84BC-D2ED90C18DF6}"/>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8332134" y="3106272"/>
              <a:ext cx="1828784" cy="1661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669602</xdr:colOff>
      <xdr:row>15</xdr:row>
      <xdr:rowOff>120854</xdr:rowOff>
    </xdr:from>
    <xdr:to>
      <xdr:col>14</xdr:col>
      <xdr:colOff>479460</xdr:colOff>
      <xdr:row>21</xdr:row>
      <xdr:rowOff>170300</xdr:rowOff>
    </xdr:to>
    <mc:AlternateContent xmlns:mc="http://schemas.openxmlformats.org/markup-compatibility/2006" xmlns:a14="http://schemas.microsoft.com/office/drawing/2010/main">
      <mc:Choice Requires="a14">
        <xdr:graphicFrame macro="">
          <xdr:nvGraphicFramePr>
            <xdr:cNvPr id="4" name="Delivery Status">
              <a:extLst>
                <a:ext uri="{FF2B5EF4-FFF2-40B4-BE49-F238E27FC236}">
                  <a16:creationId xmlns:a16="http://schemas.microsoft.com/office/drawing/2014/main" id="{18582B2B-3C64-506B-461A-08507177C1F6}"/>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3316685" y="3044500"/>
              <a:ext cx="1833921" cy="1160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492647</xdr:colOff>
      <xdr:row>0</xdr:row>
      <xdr:rowOff>0</xdr:rowOff>
    </xdr:from>
    <xdr:to>
      <xdr:col>29</xdr:col>
      <xdr:colOff>414386</xdr:colOff>
      <xdr:row>48</xdr:row>
      <xdr:rowOff>58868</xdr:rowOff>
    </xdr:to>
    <xdr:grpSp>
      <xdr:nvGrpSpPr>
        <xdr:cNvPr id="13" name="Group 12">
          <a:extLst>
            <a:ext uri="{FF2B5EF4-FFF2-40B4-BE49-F238E27FC236}">
              <a16:creationId xmlns:a16="http://schemas.microsoft.com/office/drawing/2014/main" id="{A5688EEA-FDFE-3612-8615-031828A7DC91}"/>
            </a:ext>
          </a:extLst>
        </xdr:cNvPr>
        <xdr:cNvGrpSpPr/>
      </xdr:nvGrpSpPr>
      <xdr:grpSpPr>
        <a:xfrm>
          <a:off x="1097613" y="0"/>
          <a:ext cx="16860793" cy="9326436"/>
          <a:chOff x="1163650" y="162828"/>
          <a:chExt cx="14291040" cy="6971626"/>
        </a:xfrm>
      </xdr:grpSpPr>
      <xdr:grpSp>
        <xdr:nvGrpSpPr>
          <xdr:cNvPr id="11" name="Group 10">
            <a:extLst>
              <a:ext uri="{FF2B5EF4-FFF2-40B4-BE49-F238E27FC236}">
                <a16:creationId xmlns:a16="http://schemas.microsoft.com/office/drawing/2014/main" id="{9EED37CA-E499-EC66-7C3E-0D94F8808097}"/>
              </a:ext>
            </a:extLst>
          </xdr:cNvPr>
          <xdr:cNvGrpSpPr/>
        </xdr:nvGrpSpPr>
        <xdr:grpSpPr>
          <a:xfrm>
            <a:off x="1163650" y="162828"/>
            <a:ext cx="14291040" cy="6971626"/>
            <a:chOff x="980206" y="409772"/>
            <a:chExt cx="14291040" cy="6971626"/>
          </a:xfrm>
        </xdr:grpSpPr>
        <xdr:sp macro="" textlink="">
          <xdr:nvSpPr>
            <xdr:cNvPr id="2" name="Rectangle 1">
              <a:extLst>
                <a:ext uri="{FF2B5EF4-FFF2-40B4-BE49-F238E27FC236}">
                  <a16:creationId xmlns:a16="http://schemas.microsoft.com/office/drawing/2014/main" id="{882E74E7-6C09-82C2-90C2-7C57BFB69530}"/>
                </a:ext>
              </a:extLst>
            </xdr:cNvPr>
            <xdr:cNvSpPr/>
          </xdr:nvSpPr>
          <xdr:spPr>
            <a:xfrm>
              <a:off x="980206" y="409772"/>
              <a:ext cx="14291040" cy="697162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Diagonal Corners Rounded 2">
              <a:extLst>
                <a:ext uri="{FF2B5EF4-FFF2-40B4-BE49-F238E27FC236}">
                  <a16:creationId xmlns:a16="http://schemas.microsoft.com/office/drawing/2014/main" id="{077A6676-26D2-CB00-932E-CBDC33714163}"/>
                </a:ext>
              </a:extLst>
            </xdr:cNvPr>
            <xdr:cNvSpPr/>
          </xdr:nvSpPr>
          <xdr:spPr>
            <a:xfrm>
              <a:off x="3066185" y="1446857"/>
              <a:ext cx="5843271" cy="2294621"/>
            </a:xfrm>
            <a:prstGeom prst="round2Diag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Diagonal Corners Rounded 3">
              <a:extLst>
                <a:ext uri="{FF2B5EF4-FFF2-40B4-BE49-F238E27FC236}">
                  <a16:creationId xmlns:a16="http://schemas.microsoft.com/office/drawing/2014/main" id="{11754961-8083-4C75-A32D-4473A4264F2A}"/>
                </a:ext>
              </a:extLst>
            </xdr:cNvPr>
            <xdr:cNvSpPr/>
          </xdr:nvSpPr>
          <xdr:spPr>
            <a:xfrm>
              <a:off x="9013034" y="1428819"/>
              <a:ext cx="3899589" cy="2291826"/>
            </a:xfrm>
            <a:prstGeom prst="round2Diag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Diagonal Corners Rounded 4">
              <a:extLst>
                <a:ext uri="{FF2B5EF4-FFF2-40B4-BE49-F238E27FC236}">
                  <a16:creationId xmlns:a16="http://schemas.microsoft.com/office/drawing/2014/main" id="{47ED6642-C124-41C7-8BC4-2CF651D4AAC9}"/>
                </a:ext>
              </a:extLst>
            </xdr:cNvPr>
            <xdr:cNvSpPr/>
          </xdr:nvSpPr>
          <xdr:spPr>
            <a:xfrm>
              <a:off x="3114638" y="3890769"/>
              <a:ext cx="3202797" cy="1651792"/>
            </a:xfrm>
            <a:prstGeom prst="round2Diag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6" name="Rectangle: Diagonal Corners Rounded 5">
              <a:extLst>
                <a:ext uri="{FF2B5EF4-FFF2-40B4-BE49-F238E27FC236}">
                  <a16:creationId xmlns:a16="http://schemas.microsoft.com/office/drawing/2014/main" id="{BB73E9B9-058B-47A5-98A5-AF3D7C935078}"/>
                </a:ext>
              </a:extLst>
            </xdr:cNvPr>
            <xdr:cNvSpPr/>
          </xdr:nvSpPr>
          <xdr:spPr>
            <a:xfrm>
              <a:off x="3096524" y="5643730"/>
              <a:ext cx="9843711" cy="1607073"/>
            </a:xfrm>
            <a:prstGeom prst="round2Diag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8" name="Rectangle: Diagonal Corners Rounded 7">
              <a:extLst>
                <a:ext uri="{FF2B5EF4-FFF2-40B4-BE49-F238E27FC236}">
                  <a16:creationId xmlns:a16="http://schemas.microsoft.com/office/drawing/2014/main" id="{15695B95-AE55-47B9-9430-BD62664CBABA}"/>
                </a:ext>
              </a:extLst>
            </xdr:cNvPr>
            <xdr:cNvSpPr/>
          </xdr:nvSpPr>
          <xdr:spPr>
            <a:xfrm rot="5400000">
              <a:off x="10808776" y="3109231"/>
              <a:ext cx="6422703" cy="1934514"/>
            </a:xfrm>
            <a:prstGeom prst="round2Diag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Diagonal Corners Rounded 8">
              <a:extLst>
                <a:ext uri="{FF2B5EF4-FFF2-40B4-BE49-F238E27FC236}">
                  <a16:creationId xmlns:a16="http://schemas.microsoft.com/office/drawing/2014/main" id="{643D609F-1B4A-4DBA-8A9A-1CD06A95214C}"/>
                </a:ext>
              </a:extLst>
            </xdr:cNvPr>
            <xdr:cNvSpPr/>
          </xdr:nvSpPr>
          <xdr:spPr>
            <a:xfrm>
              <a:off x="6429511" y="3881751"/>
              <a:ext cx="3202797" cy="1651792"/>
            </a:xfrm>
            <a:prstGeom prst="round2Diag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0" name="Rectangle: Diagonal Corners Rounded 9">
              <a:extLst>
                <a:ext uri="{FF2B5EF4-FFF2-40B4-BE49-F238E27FC236}">
                  <a16:creationId xmlns:a16="http://schemas.microsoft.com/office/drawing/2014/main" id="{5E6F9466-EA69-4D85-A15D-2F3672497938}"/>
                </a:ext>
              </a:extLst>
            </xdr:cNvPr>
            <xdr:cNvSpPr/>
          </xdr:nvSpPr>
          <xdr:spPr>
            <a:xfrm>
              <a:off x="9742774" y="3845678"/>
              <a:ext cx="3202797" cy="1651792"/>
            </a:xfrm>
            <a:prstGeom prst="round2Diag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sp macro="" textlink="">
        <xdr:nvSpPr>
          <xdr:cNvPr id="12" name="Rectangle: Diagonal Corners Rounded 11">
            <a:extLst>
              <a:ext uri="{FF2B5EF4-FFF2-40B4-BE49-F238E27FC236}">
                <a16:creationId xmlns:a16="http://schemas.microsoft.com/office/drawing/2014/main" id="{0C8149B3-6B93-42C8-A6A0-636C9A1366C9}"/>
              </a:ext>
            </a:extLst>
          </xdr:cNvPr>
          <xdr:cNvSpPr/>
        </xdr:nvSpPr>
        <xdr:spPr>
          <a:xfrm rot="16200000">
            <a:off x="-1093061" y="2765799"/>
            <a:ext cx="6554063" cy="1928402"/>
          </a:xfrm>
          <a:prstGeom prst="round2DiagRect">
            <a:avLst/>
          </a:prstGeom>
          <a:gradFill>
            <a:gsLst>
              <a:gs pos="23000">
                <a:srgbClr val="1F95B3"/>
              </a:gs>
              <a:gs pos="51000">
                <a:srgbClr val="B7DEE8"/>
              </a:gs>
              <a:gs pos="67000">
                <a:srgbClr val="93CDDD"/>
              </a:gs>
            </a:gsLst>
            <a:lin ang="0" scaled="1"/>
          </a:gradFill>
          <a:ln>
            <a:solidFill>
              <a:schemeClr val="lt1">
                <a:shade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595313</xdr:colOff>
      <xdr:row>8</xdr:row>
      <xdr:rowOff>39688</xdr:rowOff>
    </xdr:from>
    <xdr:to>
      <xdr:col>17</xdr:col>
      <xdr:colOff>39688</xdr:colOff>
      <xdr:row>22</xdr:row>
      <xdr:rowOff>132292</xdr:rowOff>
    </xdr:to>
    <xdr:graphicFrame macro="">
      <xdr:nvGraphicFramePr>
        <xdr:cNvPr id="14" name="Chart 13">
          <a:extLst>
            <a:ext uri="{FF2B5EF4-FFF2-40B4-BE49-F238E27FC236}">
              <a16:creationId xmlns:a16="http://schemas.microsoft.com/office/drawing/2014/main" id="{E2285619-E7F1-475C-B59E-44EEC0A45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260804</xdr:colOff>
      <xdr:row>7</xdr:row>
      <xdr:rowOff>105834</xdr:rowOff>
    </xdr:from>
    <xdr:to>
      <xdr:col>24</xdr:col>
      <xdr:colOff>464911</xdr:colOff>
      <xdr:row>23</xdr:row>
      <xdr:rowOff>11338</xdr:rowOff>
    </xdr:to>
    <xdr:graphicFrame macro="">
      <xdr:nvGraphicFramePr>
        <xdr:cNvPr id="16" name="Chart 15">
          <a:extLst>
            <a:ext uri="{FF2B5EF4-FFF2-40B4-BE49-F238E27FC236}">
              <a16:creationId xmlns:a16="http://schemas.microsoft.com/office/drawing/2014/main" id="{DFEADE5C-5286-4843-B35C-AED392A96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91335</xdr:colOff>
      <xdr:row>25</xdr:row>
      <xdr:rowOff>11916</xdr:rowOff>
    </xdr:from>
    <xdr:to>
      <xdr:col>12</xdr:col>
      <xdr:colOff>26096</xdr:colOff>
      <xdr:row>35</xdr:row>
      <xdr:rowOff>26096</xdr:rowOff>
    </xdr:to>
    <xdr:graphicFrame macro="">
      <xdr:nvGraphicFramePr>
        <xdr:cNvPr id="17" name="Chart 16">
          <a:extLst>
            <a:ext uri="{FF2B5EF4-FFF2-40B4-BE49-F238E27FC236}">
              <a16:creationId xmlns:a16="http://schemas.microsoft.com/office/drawing/2014/main" id="{96BE8B10-3AF3-48B2-A02D-0552266FF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548014</xdr:colOff>
      <xdr:row>24</xdr:row>
      <xdr:rowOff>52193</xdr:rowOff>
    </xdr:from>
    <xdr:to>
      <xdr:col>24</xdr:col>
      <xdr:colOff>404486</xdr:colOff>
      <xdr:row>35</xdr:row>
      <xdr:rowOff>52192</xdr:rowOff>
    </xdr:to>
    <xdr:graphicFrame macro="">
      <xdr:nvGraphicFramePr>
        <xdr:cNvPr id="18" name="Chart 17">
          <a:extLst>
            <a:ext uri="{FF2B5EF4-FFF2-40B4-BE49-F238E27FC236}">
              <a16:creationId xmlns:a16="http://schemas.microsoft.com/office/drawing/2014/main" id="{9E7058B1-BCBC-4D4A-BCBF-CA3098FCF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256442</xdr:colOff>
      <xdr:row>24</xdr:row>
      <xdr:rowOff>93382</xdr:rowOff>
    </xdr:from>
    <xdr:to>
      <xdr:col>18</xdr:col>
      <xdr:colOff>354134</xdr:colOff>
      <xdr:row>34</xdr:row>
      <xdr:rowOff>158750</xdr:rowOff>
    </xdr:to>
    <xdr:graphicFrame macro="">
      <xdr:nvGraphicFramePr>
        <xdr:cNvPr id="19" name="Chart 18">
          <a:extLst>
            <a:ext uri="{FF2B5EF4-FFF2-40B4-BE49-F238E27FC236}">
              <a16:creationId xmlns:a16="http://schemas.microsoft.com/office/drawing/2014/main" id="{69C8CB73-DA48-4E05-8ECC-6DD5B7B43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11616</xdr:colOff>
      <xdr:row>36</xdr:row>
      <xdr:rowOff>81311</xdr:rowOff>
    </xdr:from>
    <xdr:to>
      <xdr:col>24</xdr:col>
      <xdr:colOff>580793</xdr:colOff>
      <xdr:row>47</xdr:row>
      <xdr:rowOff>46462</xdr:rowOff>
    </xdr:to>
    <xdr:graphicFrame macro="">
      <xdr:nvGraphicFramePr>
        <xdr:cNvPr id="22" name="Chart 21">
          <a:extLst>
            <a:ext uri="{FF2B5EF4-FFF2-40B4-BE49-F238E27FC236}">
              <a16:creationId xmlns:a16="http://schemas.microsoft.com/office/drawing/2014/main" id="{1A785D05-7370-485E-BC76-3F492D93A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258334</xdr:colOff>
      <xdr:row>7</xdr:row>
      <xdr:rowOff>117689</xdr:rowOff>
    </xdr:from>
    <xdr:to>
      <xdr:col>10</xdr:col>
      <xdr:colOff>52916</xdr:colOff>
      <xdr:row>9</xdr:row>
      <xdr:rowOff>132292</xdr:rowOff>
    </xdr:to>
    <xdr:sp macro="" textlink="">
      <xdr:nvSpPr>
        <xdr:cNvPr id="7" name="TextBox 6">
          <a:extLst>
            <a:ext uri="{FF2B5EF4-FFF2-40B4-BE49-F238E27FC236}">
              <a16:creationId xmlns:a16="http://schemas.microsoft.com/office/drawing/2014/main" id="{D7FC08FA-AC29-744A-AC87-45D5E4AE0743}"/>
            </a:ext>
          </a:extLst>
        </xdr:cNvPr>
        <xdr:cNvSpPr txBox="1"/>
      </xdr:nvSpPr>
      <xdr:spPr>
        <a:xfrm>
          <a:off x="4518126" y="1414147"/>
          <a:ext cx="1620207" cy="385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effectLst>
                <a:glow rad="228600">
                  <a:srgbClr val="00B0F0">
                    <a:alpha val="40000"/>
                  </a:srgbClr>
                </a:glow>
              </a:effectLst>
              <a:latin typeface="Segoe UI Semibold" panose="020B0702040204020203" pitchFamily="34" charset="0"/>
              <a:cs typeface="Segoe UI Semibold" panose="020B0702040204020203" pitchFamily="34" charset="0"/>
            </a:rPr>
            <a:t>Total Revenue</a:t>
          </a:r>
        </a:p>
      </xdr:txBody>
    </xdr:sp>
    <xdr:clientData/>
  </xdr:twoCellAnchor>
  <xdr:twoCellAnchor editAs="oneCell">
    <xdr:from>
      <xdr:col>6</xdr:col>
      <xdr:colOff>35609</xdr:colOff>
      <xdr:row>23</xdr:row>
      <xdr:rowOff>192163</xdr:rowOff>
    </xdr:from>
    <xdr:to>
      <xdr:col>9</xdr:col>
      <xdr:colOff>182671</xdr:colOff>
      <xdr:row>26</xdr:row>
      <xdr:rowOff>104383</xdr:rowOff>
    </xdr:to>
    <xdr:pic>
      <xdr:nvPicPr>
        <xdr:cNvPr id="15" name="Picture 14">
          <a:extLst>
            <a:ext uri="{FF2B5EF4-FFF2-40B4-BE49-F238E27FC236}">
              <a16:creationId xmlns:a16="http://schemas.microsoft.com/office/drawing/2014/main" id="{8FE1022B-2931-41F7-A4DA-53588F283225}"/>
            </a:ext>
          </a:extLst>
        </xdr:cNvPr>
        <xdr:cNvPicPr>
          <a:picLocks noChangeAspect="1"/>
        </xdr:cNvPicPr>
      </xdr:nvPicPr>
      <xdr:blipFill>
        <a:blip xmlns:r="http://schemas.openxmlformats.org/officeDocument/2006/relationships" r:embed="rId7"/>
        <a:stretch>
          <a:fillRect/>
        </a:stretch>
      </xdr:blipFill>
      <xdr:spPr>
        <a:xfrm>
          <a:off x="3715130" y="4693704"/>
          <a:ext cx="1986822" cy="499378"/>
        </a:xfrm>
        <a:prstGeom prst="rect">
          <a:avLst/>
        </a:prstGeom>
      </xdr:spPr>
    </xdr:pic>
    <xdr:clientData/>
  </xdr:twoCellAnchor>
  <xdr:twoCellAnchor>
    <xdr:from>
      <xdr:col>12</xdr:col>
      <xdr:colOff>322073</xdr:colOff>
      <xdr:row>24</xdr:row>
      <xdr:rowOff>51164</xdr:rowOff>
    </xdr:from>
    <xdr:to>
      <xdr:col>14</xdr:col>
      <xdr:colOff>523203</xdr:colOff>
      <xdr:row>26</xdr:row>
      <xdr:rowOff>71712</xdr:rowOff>
    </xdr:to>
    <xdr:sp macro="" textlink="">
      <xdr:nvSpPr>
        <xdr:cNvPr id="20" name="TextBox 19">
          <a:extLst>
            <a:ext uri="{FF2B5EF4-FFF2-40B4-BE49-F238E27FC236}">
              <a16:creationId xmlns:a16="http://schemas.microsoft.com/office/drawing/2014/main" id="{7C7A2A50-965C-AF42-D926-1F734563BBA4}"/>
            </a:ext>
          </a:extLst>
        </xdr:cNvPr>
        <xdr:cNvSpPr txBox="1"/>
      </xdr:nvSpPr>
      <xdr:spPr>
        <a:xfrm>
          <a:off x="7566439" y="4558770"/>
          <a:ext cx="1408525" cy="396181"/>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effectLst>
                <a:glow rad="228600">
                  <a:srgbClr val="00B0F0">
                    <a:alpha val="40000"/>
                  </a:srgbClr>
                </a:glow>
              </a:effectLst>
              <a:latin typeface="Segoe UI Semibold" panose="020B0702040204020203" pitchFamily="34" charset="0"/>
              <a:ea typeface="+mn-ea"/>
              <a:cs typeface="Segoe UI Semibold" panose="020B0702040204020203" pitchFamily="34" charset="0"/>
            </a:rPr>
            <a:t>Rev</a:t>
          </a:r>
          <a:r>
            <a:rPr lang="en-IN" sz="1600" b="1">
              <a:latin typeface="Segoe UI Semibold" panose="020B0702040204020203" pitchFamily="34" charset="0"/>
              <a:cs typeface="Segoe UI Semibold" panose="020B0702040204020203" pitchFamily="34" charset="0"/>
            </a:rPr>
            <a:t>. </a:t>
          </a:r>
          <a:r>
            <a:rPr lang="en-IN" sz="1200" b="1">
              <a:solidFill>
                <a:schemeClr val="dk1"/>
              </a:solidFill>
              <a:effectLst>
                <a:glow rad="228600">
                  <a:srgbClr val="00B0F0">
                    <a:alpha val="40000"/>
                  </a:srgbClr>
                </a:glow>
              </a:effectLst>
              <a:latin typeface="Segoe UI Semibold" panose="020B0702040204020203" pitchFamily="34" charset="0"/>
              <a:ea typeface="+mn-ea"/>
              <a:cs typeface="Segoe UI Semibold" panose="020B0702040204020203" pitchFamily="34" charset="0"/>
            </a:rPr>
            <a:t>by payment method</a:t>
          </a:r>
        </a:p>
      </xdr:txBody>
    </xdr:sp>
    <xdr:clientData/>
  </xdr:twoCellAnchor>
  <xdr:twoCellAnchor>
    <xdr:from>
      <xdr:col>19</xdr:col>
      <xdr:colOff>96399</xdr:colOff>
      <xdr:row>24</xdr:row>
      <xdr:rowOff>51036</xdr:rowOff>
    </xdr:from>
    <xdr:to>
      <xdr:col>21</xdr:col>
      <xdr:colOff>317641</xdr:colOff>
      <xdr:row>25</xdr:row>
      <xdr:rowOff>128635</xdr:rowOff>
    </xdr:to>
    <xdr:sp macro="" textlink="">
      <xdr:nvSpPr>
        <xdr:cNvPr id="21" name="TextBox 20">
          <a:extLst>
            <a:ext uri="{FF2B5EF4-FFF2-40B4-BE49-F238E27FC236}">
              <a16:creationId xmlns:a16="http://schemas.microsoft.com/office/drawing/2014/main" id="{E916C980-AE22-3EF1-D383-BAED24C9E612}"/>
            </a:ext>
          </a:extLst>
        </xdr:cNvPr>
        <xdr:cNvSpPr txBox="1"/>
      </xdr:nvSpPr>
      <xdr:spPr>
        <a:xfrm>
          <a:off x="11697361" y="4740267"/>
          <a:ext cx="1442395" cy="272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dk1"/>
              </a:solidFill>
              <a:effectLst>
                <a:glow rad="228600">
                  <a:srgbClr val="00B0F0">
                    <a:alpha val="40000"/>
                  </a:srgbClr>
                </a:glow>
              </a:effectLst>
              <a:latin typeface="Segoe UI Semibold" panose="020B0702040204020203" pitchFamily="34" charset="0"/>
              <a:ea typeface="+mn-ea"/>
              <a:cs typeface="Segoe UI Semibold" panose="020B0702040204020203" pitchFamily="34" charset="0"/>
            </a:rPr>
            <a:t>Cancellation</a:t>
          </a:r>
          <a:r>
            <a:rPr lang="en-IN" sz="1050" b="0">
              <a:solidFill>
                <a:schemeClr val="dk1"/>
              </a:solidFill>
              <a:effectLst>
                <a:glow rad="228600">
                  <a:srgbClr val="00B0F0">
                    <a:alpha val="40000"/>
                  </a:srgbClr>
                </a:glow>
              </a:effectLst>
              <a:latin typeface="Segoe UI Semibold" panose="020B0702040204020203" pitchFamily="34" charset="0"/>
              <a:ea typeface="+mn-ea"/>
              <a:cs typeface="Segoe UI Semibold" panose="020B0702040204020203" pitchFamily="34" charset="0"/>
            </a:rPr>
            <a:t> </a:t>
          </a:r>
          <a:r>
            <a:rPr lang="en-IN" sz="1200" b="0">
              <a:solidFill>
                <a:schemeClr val="dk1"/>
              </a:solidFill>
              <a:effectLst>
                <a:glow rad="228600">
                  <a:srgbClr val="00B0F0">
                    <a:alpha val="40000"/>
                  </a:srgbClr>
                </a:glow>
              </a:effectLst>
              <a:latin typeface="Segoe UI Semibold" panose="020B0702040204020203" pitchFamily="34" charset="0"/>
              <a:ea typeface="+mn-ea"/>
              <a:cs typeface="Segoe UI Semibold" panose="020B0702040204020203" pitchFamily="34" charset="0"/>
            </a:rPr>
            <a:t>Rate</a:t>
          </a:r>
          <a:endParaRPr lang="en-IN" sz="1050" b="0">
            <a:solidFill>
              <a:schemeClr val="dk1"/>
            </a:solidFill>
            <a:effectLst>
              <a:glow rad="228600">
                <a:srgbClr val="00B0F0">
                  <a:alpha val="40000"/>
                </a:srgbClr>
              </a:glow>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6</xdr:col>
      <xdr:colOff>331791</xdr:colOff>
      <xdr:row>36</xdr:row>
      <xdr:rowOff>142756</xdr:rowOff>
    </xdr:from>
    <xdr:to>
      <xdr:col>9</xdr:col>
      <xdr:colOff>169622</xdr:colOff>
      <xdr:row>38</xdr:row>
      <xdr:rowOff>130479</xdr:rowOff>
    </xdr:to>
    <xdr:sp macro="" textlink="">
      <xdr:nvSpPr>
        <xdr:cNvPr id="23" name="TextBox 22">
          <a:extLst>
            <a:ext uri="{FF2B5EF4-FFF2-40B4-BE49-F238E27FC236}">
              <a16:creationId xmlns:a16="http://schemas.microsoft.com/office/drawing/2014/main" id="{FFE508BA-26D2-E2A9-B8C5-00AC7DDF3576}"/>
            </a:ext>
          </a:extLst>
        </xdr:cNvPr>
        <xdr:cNvSpPr txBox="1"/>
      </xdr:nvSpPr>
      <xdr:spPr>
        <a:xfrm>
          <a:off x="4011312" y="7188646"/>
          <a:ext cx="1677591" cy="37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solidFill>
                <a:schemeClr val="dk1"/>
              </a:solidFill>
              <a:effectLst>
                <a:glow rad="228600">
                  <a:srgbClr val="00B0F0">
                    <a:alpha val="40000"/>
                  </a:srgbClr>
                </a:glow>
              </a:effectLst>
              <a:latin typeface="Segoe UI Semibold" panose="020B0702040204020203" pitchFamily="34" charset="0"/>
              <a:ea typeface="+mn-ea"/>
              <a:cs typeface="Segoe UI Semibold" panose="020B0702040204020203" pitchFamily="34" charset="0"/>
            </a:rPr>
            <a:t>Sale by month</a:t>
          </a:r>
        </a:p>
      </xdr:txBody>
    </xdr:sp>
    <xdr:clientData/>
  </xdr:twoCellAnchor>
  <xdr:twoCellAnchor editAs="oneCell">
    <xdr:from>
      <xdr:col>1</xdr:col>
      <xdr:colOff>448538</xdr:colOff>
      <xdr:row>2</xdr:row>
      <xdr:rowOff>38433</xdr:rowOff>
    </xdr:from>
    <xdr:to>
      <xdr:col>5</xdr:col>
      <xdr:colOff>483357</xdr:colOff>
      <xdr:row>8</xdr:row>
      <xdr:rowOff>1</xdr:rowOff>
    </xdr:to>
    <xdr:pic>
      <xdr:nvPicPr>
        <xdr:cNvPr id="24" name="Picture 23">
          <a:extLst>
            <a:ext uri="{FF2B5EF4-FFF2-40B4-BE49-F238E27FC236}">
              <a16:creationId xmlns:a16="http://schemas.microsoft.com/office/drawing/2014/main" id="{498BF0F9-115F-2E53-F5DF-880E89A8036A}"/>
            </a:ext>
          </a:extLst>
        </xdr:cNvPr>
        <xdr:cNvPicPr>
          <a:picLocks noChangeAspect="1"/>
        </xdr:cNvPicPr>
      </xdr:nvPicPr>
      <xdr:blipFill>
        <a:blip xmlns:r="http://schemas.openxmlformats.org/officeDocument/2006/relationships" r:embed="rId8"/>
        <a:stretch>
          <a:fillRect/>
        </a:stretch>
      </xdr:blipFill>
      <xdr:spPr>
        <a:xfrm>
          <a:off x="1059844" y="408060"/>
          <a:ext cx="2480043" cy="1070448"/>
        </a:xfrm>
        <a:prstGeom prst="rect">
          <a:avLst/>
        </a:prstGeom>
      </xdr:spPr>
    </xdr:pic>
    <xdr:clientData/>
  </xdr:twoCellAnchor>
  <xdr:twoCellAnchor editAs="oneCell">
    <xdr:from>
      <xdr:col>2</xdr:col>
      <xdr:colOff>526006</xdr:colOff>
      <xdr:row>6</xdr:row>
      <xdr:rowOff>145738</xdr:rowOff>
    </xdr:from>
    <xdr:to>
      <xdr:col>4</xdr:col>
      <xdr:colOff>142163</xdr:colOff>
      <xdr:row>11</xdr:row>
      <xdr:rowOff>33713</xdr:rowOff>
    </xdr:to>
    <xdr:pic>
      <xdr:nvPicPr>
        <xdr:cNvPr id="25" name="Picture 24">
          <a:extLst>
            <a:ext uri="{FF2B5EF4-FFF2-40B4-BE49-F238E27FC236}">
              <a16:creationId xmlns:a16="http://schemas.microsoft.com/office/drawing/2014/main" id="{D0277FB7-E1A1-47F1-9EBE-550AB7F7968E}"/>
            </a:ext>
          </a:extLst>
        </xdr:cNvPr>
        <xdr:cNvPicPr>
          <a:picLocks noChangeAspect="1" noChangeArrowheads="1"/>
        </xdr:cNvPicPr>
      </xdr:nvPicPr>
      <xdr:blipFill>
        <a:blip xmlns:r="http://schemas.openxmlformats.org/officeDocument/2006/relationships" r:embed="rId9" cstate="print">
          <a:alphaModFix amt="92000"/>
          <a:extLst>
            <a:ext uri="{28A0092B-C50C-407E-A947-70E740481C1C}">
              <a14:useLocalDpi xmlns:a14="http://schemas.microsoft.com/office/drawing/2010/main" val="0"/>
            </a:ext>
          </a:extLst>
        </a:blip>
        <a:srcRect/>
        <a:stretch>
          <a:fillRect/>
        </a:stretch>
      </xdr:blipFill>
      <xdr:spPr bwMode="auto">
        <a:xfrm>
          <a:off x="1748618" y="1254619"/>
          <a:ext cx="838769" cy="812042"/>
        </a:xfrm>
        <a:prstGeom prst="rect">
          <a:avLst/>
        </a:prstGeom>
        <a:noFill/>
        <a:scene3d>
          <a:camera prst="orthographicFront"/>
          <a:lightRig rig="threePt" dir="t"/>
        </a:scene3d>
        <a:sp3d prstMaterial="softEdge"/>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582082</xdr:colOff>
      <xdr:row>12</xdr:row>
      <xdr:rowOff>105833</xdr:rowOff>
    </xdr:from>
    <xdr:to>
      <xdr:col>5</xdr:col>
      <xdr:colOff>348802</xdr:colOff>
      <xdr:row>22</xdr:row>
      <xdr:rowOff>109903</xdr:rowOff>
    </xdr:to>
    <mc:AlternateContent xmlns:mc="http://schemas.openxmlformats.org/markup-compatibility/2006" xmlns:a14="http://schemas.microsoft.com/office/drawing/2010/main">
      <mc:Choice Requires="a14">
        <xdr:graphicFrame macro="">
          <xdr:nvGraphicFramePr>
            <xdr:cNvPr id="28" name="Payment Method 1">
              <a:extLst>
                <a:ext uri="{FF2B5EF4-FFF2-40B4-BE49-F238E27FC236}">
                  <a16:creationId xmlns:a16="http://schemas.microsoft.com/office/drawing/2014/main" id="{930C27D6-5114-4CE9-AC54-4AFAE0CF15BE}"/>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185780" y="2359636"/>
              <a:ext cx="2150206" cy="1882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23</xdr:row>
      <xdr:rowOff>117948</xdr:rowOff>
    </xdr:from>
    <xdr:to>
      <xdr:col>5</xdr:col>
      <xdr:colOff>362218</xdr:colOff>
      <xdr:row>30</xdr:row>
      <xdr:rowOff>145521</xdr:rowOff>
    </xdr:to>
    <mc:AlternateContent xmlns:mc="http://schemas.openxmlformats.org/markup-compatibility/2006" xmlns:a14="http://schemas.microsoft.com/office/drawing/2010/main">
      <mc:Choice Requires="a14">
        <xdr:graphicFrame macro="">
          <xdr:nvGraphicFramePr>
            <xdr:cNvPr id="29" name="Delivery Status 1">
              <a:extLst>
                <a:ext uri="{FF2B5EF4-FFF2-40B4-BE49-F238E27FC236}">
                  <a16:creationId xmlns:a16="http://schemas.microsoft.com/office/drawing/2014/main" id="{DB553F2A-1899-4AA0-B674-73B13CBD006C}"/>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207395" y="4437737"/>
              <a:ext cx="2062446" cy="1342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568854</xdr:colOff>
      <xdr:row>31</xdr:row>
      <xdr:rowOff>145522</xdr:rowOff>
    </xdr:from>
    <xdr:to>
      <xdr:col>5</xdr:col>
      <xdr:colOff>357187</xdr:colOff>
      <xdr:row>41</xdr:row>
      <xdr:rowOff>0</xdr:rowOff>
    </xdr:to>
    <mc:AlternateContent xmlns:mc="http://schemas.openxmlformats.org/markup-compatibility/2006" xmlns:a14="http://schemas.microsoft.com/office/drawing/2010/main">
      <mc:Choice Requires="a14">
        <xdr:graphicFrame macro="">
          <xdr:nvGraphicFramePr>
            <xdr:cNvPr id="30" name="Product_Category 1">
              <a:extLst>
                <a:ext uri="{FF2B5EF4-FFF2-40B4-BE49-F238E27FC236}">
                  <a16:creationId xmlns:a16="http://schemas.microsoft.com/office/drawing/2014/main" id="{8FC118D0-0A6D-4B04-8713-3DD5155C396F}"/>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172551" y="5967846"/>
              <a:ext cx="2203122" cy="1732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502709</xdr:colOff>
      <xdr:row>0</xdr:row>
      <xdr:rowOff>185207</xdr:rowOff>
    </xdr:from>
    <xdr:to>
      <xdr:col>24</xdr:col>
      <xdr:colOff>595312</xdr:colOff>
      <xdr:row>5</xdr:row>
      <xdr:rowOff>145520</xdr:rowOff>
    </xdr:to>
    <xdr:sp macro="" textlink="">
      <xdr:nvSpPr>
        <xdr:cNvPr id="31" name="Rectangle: Rounded Corners 30">
          <a:extLst>
            <a:ext uri="{FF2B5EF4-FFF2-40B4-BE49-F238E27FC236}">
              <a16:creationId xmlns:a16="http://schemas.microsoft.com/office/drawing/2014/main" id="{C4D93016-9220-4CE1-5605-A6D7A36F9E22}"/>
            </a:ext>
          </a:extLst>
        </xdr:cNvPr>
        <xdr:cNvSpPr/>
      </xdr:nvSpPr>
      <xdr:spPr>
        <a:xfrm>
          <a:off x="3545417" y="185207"/>
          <a:ext cx="11654895" cy="88635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540608</xdr:colOff>
      <xdr:row>1</xdr:row>
      <xdr:rowOff>77231</xdr:rowOff>
    </xdr:from>
    <xdr:to>
      <xdr:col>24</xdr:col>
      <xdr:colOff>399020</xdr:colOff>
      <xdr:row>5</xdr:row>
      <xdr:rowOff>13229</xdr:rowOff>
    </xdr:to>
    <xdr:sp macro="" textlink="">
      <xdr:nvSpPr>
        <xdr:cNvPr id="32" name="TextBox 31">
          <a:extLst>
            <a:ext uri="{FF2B5EF4-FFF2-40B4-BE49-F238E27FC236}">
              <a16:creationId xmlns:a16="http://schemas.microsoft.com/office/drawing/2014/main" id="{879EA68E-E2A0-CA4E-F2F9-1F86153BE721}"/>
            </a:ext>
          </a:extLst>
        </xdr:cNvPr>
        <xdr:cNvSpPr txBox="1"/>
      </xdr:nvSpPr>
      <xdr:spPr>
        <a:xfrm>
          <a:off x="3565439" y="270305"/>
          <a:ext cx="11352770" cy="708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a:p>
      </xdr:txBody>
    </xdr:sp>
    <xdr:clientData/>
  </xdr:twoCellAnchor>
  <xdr:twoCellAnchor editAs="oneCell">
    <xdr:from>
      <xdr:col>5</xdr:col>
      <xdr:colOff>540608</xdr:colOff>
      <xdr:row>1</xdr:row>
      <xdr:rowOff>77231</xdr:rowOff>
    </xdr:from>
    <xdr:to>
      <xdr:col>24</xdr:col>
      <xdr:colOff>424764</xdr:colOff>
      <xdr:row>7</xdr:row>
      <xdr:rowOff>82661</xdr:rowOff>
    </xdr:to>
    <xdr:pic>
      <xdr:nvPicPr>
        <xdr:cNvPr id="27" name="Picture 26">
          <a:extLst>
            <a:ext uri="{FF2B5EF4-FFF2-40B4-BE49-F238E27FC236}">
              <a16:creationId xmlns:a16="http://schemas.microsoft.com/office/drawing/2014/main" id="{99EF1194-A02A-48EE-985A-EEC5B7B3A920}"/>
            </a:ext>
          </a:extLst>
        </xdr:cNvPr>
        <xdr:cNvPicPr>
          <a:picLocks noChangeAspect="1"/>
        </xdr:cNvPicPr>
      </xdr:nvPicPr>
      <xdr:blipFill>
        <a:blip xmlns:r="http://schemas.openxmlformats.org/officeDocument/2006/relationships" r:embed="rId10"/>
        <a:stretch>
          <a:fillRect/>
        </a:stretch>
      </xdr:blipFill>
      <xdr:spPr>
        <a:xfrm>
          <a:off x="3565439" y="270305"/>
          <a:ext cx="11378514" cy="1163876"/>
        </a:xfrm>
        <a:prstGeom prst="rect">
          <a:avLst/>
        </a:prstGeom>
      </xdr:spPr>
    </xdr:pic>
    <xdr:clientData/>
  </xdr:twoCellAnchor>
  <xdr:twoCellAnchor editAs="oneCell">
    <xdr:from>
      <xdr:col>25</xdr:col>
      <xdr:colOff>277310</xdr:colOff>
      <xdr:row>4</xdr:row>
      <xdr:rowOff>27691</xdr:rowOff>
    </xdr:from>
    <xdr:to>
      <xdr:col>28</xdr:col>
      <xdr:colOff>373764</xdr:colOff>
      <xdr:row>7</xdr:row>
      <xdr:rowOff>154283</xdr:rowOff>
    </xdr:to>
    <xdr:pic>
      <xdr:nvPicPr>
        <xdr:cNvPr id="33" name="Picture 32">
          <a:extLst>
            <a:ext uri="{FF2B5EF4-FFF2-40B4-BE49-F238E27FC236}">
              <a16:creationId xmlns:a16="http://schemas.microsoft.com/office/drawing/2014/main" id="{88485791-EE9B-3B53-5040-5B2382ACEA99}"/>
            </a:ext>
          </a:extLst>
        </xdr:cNvPr>
        <xdr:cNvPicPr>
          <a:picLocks noChangeAspect="1"/>
        </xdr:cNvPicPr>
      </xdr:nvPicPr>
      <xdr:blipFill>
        <a:blip xmlns:r="http://schemas.openxmlformats.org/officeDocument/2006/relationships" r:embed="rId11"/>
        <a:stretch>
          <a:fillRect/>
        </a:stretch>
      </xdr:blipFill>
      <xdr:spPr>
        <a:xfrm>
          <a:off x="15649937" y="799337"/>
          <a:ext cx="1941169" cy="705326"/>
        </a:xfrm>
        <a:prstGeom prst="rect">
          <a:avLst/>
        </a:prstGeom>
      </xdr:spPr>
    </xdr:pic>
    <xdr:clientData/>
  </xdr:twoCellAnchor>
  <xdr:twoCellAnchor>
    <xdr:from>
      <xdr:col>25</xdr:col>
      <xdr:colOff>226912</xdr:colOff>
      <xdr:row>9</xdr:row>
      <xdr:rowOff>84398</xdr:rowOff>
    </xdr:from>
    <xdr:to>
      <xdr:col>28</xdr:col>
      <xdr:colOff>600678</xdr:colOff>
      <xdr:row>14</xdr:row>
      <xdr:rowOff>84399</xdr:rowOff>
    </xdr:to>
    <xdr:sp macro="" textlink="">
      <xdr:nvSpPr>
        <xdr:cNvPr id="35" name="Rectangle: Rounded Corners 34">
          <a:extLst>
            <a:ext uri="{FF2B5EF4-FFF2-40B4-BE49-F238E27FC236}">
              <a16:creationId xmlns:a16="http://schemas.microsoft.com/office/drawing/2014/main" id="{E743846E-4257-033B-0056-7D4B5CB01FD6}"/>
            </a:ext>
          </a:extLst>
        </xdr:cNvPr>
        <xdr:cNvSpPr/>
      </xdr:nvSpPr>
      <xdr:spPr>
        <a:xfrm>
          <a:off x="15599539" y="1820601"/>
          <a:ext cx="2218481" cy="964557"/>
        </a:xfrm>
        <a:prstGeom prst="roundRect">
          <a:avLst/>
        </a:prstGeom>
        <a:gradFill flip="none" rotWithShape="1">
          <a:gsLst>
            <a:gs pos="76000">
              <a:srgbClr val="00B0F0"/>
            </a:gs>
            <a:gs pos="43000">
              <a:srgbClr val="435369"/>
            </a:gs>
            <a:gs pos="100000">
              <a:srgbClr val="333F50"/>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226912</xdr:colOff>
      <xdr:row>18</xdr:row>
      <xdr:rowOff>68002</xdr:rowOff>
    </xdr:from>
    <xdr:to>
      <xdr:col>28</xdr:col>
      <xdr:colOff>600678</xdr:colOff>
      <xdr:row>23</xdr:row>
      <xdr:rowOff>68002</xdr:rowOff>
    </xdr:to>
    <xdr:sp macro="" textlink="">
      <xdr:nvSpPr>
        <xdr:cNvPr id="36" name="Rectangle: Rounded Corners 35">
          <a:extLst>
            <a:ext uri="{FF2B5EF4-FFF2-40B4-BE49-F238E27FC236}">
              <a16:creationId xmlns:a16="http://schemas.microsoft.com/office/drawing/2014/main" id="{D67A5360-A3AD-4514-8045-7C7C7B4A1CE5}"/>
            </a:ext>
          </a:extLst>
        </xdr:cNvPr>
        <xdr:cNvSpPr/>
      </xdr:nvSpPr>
      <xdr:spPr>
        <a:xfrm>
          <a:off x="15599539" y="3540407"/>
          <a:ext cx="2218481" cy="964557"/>
        </a:xfrm>
        <a:prstGeom prst="roundRect">
          <a:avLst/>
        </a:prstGeom>
        <a:gradFill flip="none" rotWithShape="1">
          <a:gsLst>
            <a:gs pos="77000">
              <a:srgbClr val="00B0F0"/>
            </a:gs>
            <a:gs pos="43000">
              <a:srgbClr val="435369"/>
            </a:gs>
            <a:gs pos="100000">
              <a:srgbClr val="333F50"/>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226912</xdr:colOff>
      <xdr:row>26</xdr:row>
      <xdr:rowOff>184231</xdr:rowOff>
    </xdr:from>
    <xdr:to>
      <xdr:col>28</xdr:col>
      <xdr:colOff>600678</xdr:colOff>
      <xdr:row>31</xdr:row>
      <xdr:rowOff>184231</xdr:rowOff>
    </xdr:to>
    <xdr:sp macro="" textlink="">
      <xdr:nvSpPr>
        <xdr:cNvPr id="37" name="Rectangle: Rounded Corners 36">
          <a:extLst>
            <a:ext uri="{FF2B5EF4-FFF2-40B4-BE49-F238E27FC236}">
              <a16:creationId xmlns:a16="http://schemas.microsoft.com/office/drawing/2014/main" id="{0C949DFD-C5DD-482A-A76F-BF99CFA71C73}"/>
            </a:ext>
          </a:extLst>
        </xdr:cNvPr>
        <xdr:cNvSpPr/>
      </xdr:nvSpPr>
      <xdr:spPr>
        <a:xfrm>
          <a:off x="15599539" y="5199927"/>
          <a:ext cx="2218481" cy="964557"/>
        </a:xfrm>
        <a:prstGeom prst="roundRect">
          <a:avLst/>
        </a:prstGeom>
        <a:gradFill flip="none" rotWithShape="1">
          <a:gsLst>
            <a:gs pos="67000">
              <a:srgbClr val="00B0F0"/>
            </a:gs>
            <a:gs pos="43000">
              <a:srgbClr val="435369"/>
            </a:gs>
            <a:gs pos="100000">
              <a:srgbClr val="333F50"/>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226912</xdr:colOff>
      <xdr:row>35</xdr:row>
      <xdr:rowOff>191947</xdr:rowOff>
    </xdr:from>
    <xdr:to>
      <xdr:col>28</xdr:col>
      <xdr:colOff>600678</xdr:colOff>
      <xdr:row>40</xdr:row>
      <xdr:rowOff>191947</xdr:rowOff>
    </xdr:to>
    <xdr:sp macro="" textlink="">
      <xdr:nvSpPr>
        <xdr:cNvPr id="38" name="Rectangle: Rounded Corners 37">
          <a:extLst>
            <a:ext uri="{FF2B5EF4-FFF2-40B4-BE49-F238E27FC236}">
              <a16:creationId xmlns:a16="http://schemas.microsoft.com/office/drawing/2014/main" id="{6EE91E66-793B-4055-B61F-035B7989FA91}"/>
            </a:ext>
          </a:extLst>
        </xdr:cNvPr>
        <xdr:cNvSpPr/>
      </xdr:nvSpPr>
      <xdr:spPr>
        <a:xfrm>
          <a:off x="15599539" y="6943846"/>
          <a:ext cx="2218481" cy="964557"/>
        </a:xfrm>
        <a:prstGeom prst="roundRect">
          <a:avLst/>
        </a:prstGeom>
        <a:gradFill flip="none" rotWithShape="1">
          <a:gsLst>
            <a:gs pos="70000">
              <a:srgbClr val="00B0F0"/>
            </a:gs>
            <a:gs pos="43000">
              <a:srgbClr val="435369"/>
            </a:gs>
            <a:gs pos="100000">
              <a:srgbClr val="333F50"/>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12057</xdr:colOff>
      <xdr:row>9</xdr:row>
      <xdr:rowOff>144683</xdr:rowOff>
    </xdr:from>
    <xdr:to>
      <xdr:col>28</xdr:col>
      <xdr:colOff>494335</xdr:colOff>
      <xdr:row>11</xdr:row>
      <xdr:rowOff>168797</xdr:rowOff>
    </xdr:to>
    <xdr:sp macro="" textlink="">
      <xdr:nvSpPr>
        <xdr:cNvPr id="39" name="TextBox 38">
          <a:extLst>
            <a:ext uri="{FF2B5EF4-FFF2-40B4-BE49-F238E27FC236}">
              <a16:creationId xmlns:a16="http://schemas.microsoft.com/office/drawing/2014/main" id="{6CC34ADC-749F-DF5D-34BE-28C230A49FEB}"/>
            </a:ext>
          </a:extLst>
        </xdr:cNvPr>
        <xdr:cNvSpPr txBox="1"/>
      </xdr:nvSpPr>
      <xdr:spPr>
        <a:xfrm>
          <a:off x="15999589" y="1880886"/>
          <a:ext cx="1712088" cy="409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latin typeface="Arial Black" panose="020B0A04020102020204" pitchFamily="34" charset="0"/>
            </a:rPr>
            <a:t>Total Sales</a:t>
          </a:r>
        </a:p>
      </xdr:txBody>
    </xdr:sp>
    <xdr:clientData/>
  </xdr:twoCellAnchor>
  <xdr:twoCellAnchor>
    <xdr:from>
      <xdr:col>26</xdr:col>
      <xdr:colOff>313481</xdr:colOff>
      <xdr:row>12</xdr:row>
      <xdr:rowOff>12057</xdr:rowOff>
    </xdr:from>
    <xdr:to>
      <xdr:col>28</xdr:col>
      <xdr:colOff>446108</xdr:colOff>
      <xdr:row>14</xdr:row>
      <xdr:rowOff>24115</xdr:rowOff>
    </xdr:to>
    <xdr:sp macro="" textlink="pivot_Table!$R$7">
      <xdr:nvSpPr>
        <xdr:cNvPr id="40" name="TextBox 39">
          <a:extLst>
            <a:ext uri="{FF2B5EF4-FFF2-40B4-BE49-F238E27FC236}">
              <a16:creationId xmlns:a16="http://schemas.microsoft.com/office/drawing/2014/main" id="{E688E231-EA61-B657-B114-CF897361711D}"/>
            </a:ext>
          </a:extLst>
        </xdr:cNvPr>
        <xdr:cNvSpPr txBox="1"/>
      </xdr:nvSpPr>
      <xdr:spPr>
        <a:xfrm>
          <a:off x="16301013" y="2326994"/>
          <a:ext cx="1362437" cy="397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1FF606-DEA4-4466-B724-DE9EBE854E8D}" type="TxLink">
            <a:rPr lang="en-US" sz="1400" b="0" i="0" u="none" strike="noStrike">
              <a:solidFill>
                <a:schemeClr val="bg1"/>
              </a:solidFill>
              <a:latin typeface="Arial Black" panose="020B0A04020102020204" pitchFamily="34" charset="0"/>
              <a:ea typeface="Calibri"/>
              <a:cs typeface="Calibri"/>
            </a:rPr>
            <a:pPr/>
            <a:t>$35,258.00</a:t>
          </a:fld>
          <a:endParaRPr lang="en-IN" sz="1400">
            <a:solidFill>
              <a:schemeClr val="bg1"/>
            </a:solidFill>
            <a:latin typeface="Arial Black" panose="020B0A04020102020204" pitchFamily="34" charset="0"/>
          </a:endParaRPr>
        </a:p>
      </xdr:txBody>
    </xdr:sp>
    <xdr:clientData/>
  </xdr:twoCellAnchor>
  <xdr:twoCellAnchor>
    <xdr:from>
      <xdr:col>26</xdr:col>
      <xdr:colOff>397880</xdr:colOff>
      <xdr:row>21</xdr:row>
      <xdr:rowOff>1</xdr:rowOff>
    </xdr:from>
    <xdr:to>
      <xdr:col>28</xdr:col>
      <xdr:colOff>180854</xdr:colOff>
      <xdr:row>23</xdr:row>
      <xdr:rowOff>12058</xdr:rowOff>
    </xdr:to>
    <xdr:sp macro="" textlink="pivot_Table!T7">
      <xdr:nvSpPr>
        <xdr:cNvPr id="41" name="TextBox 40">
          <a:extLst>
            <a:ext uri="{FF2B5EF4-FFF2-40B4-BE49-F238E27FC236}">
              <a16:creationId xmlns:a16="http://schemas.microsoft.com/office/drawing/2014/main" id="{5CEBB39E-955F-EC63-CD93-EC0B2AEE4BF3}"/>
            </a:ext>
          </a:extLst>
        </xdr:cNvPr>
        <xdr:cNvSpPr txBox="1"/>
      </xdr:nvSpPr>
      <xdr:spPr>
        <a:xfrm>
          <a:off x="16385412" y="4051140"/>
          <a:ext cx="1012784" cy="397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8BF752-63A2-4404-9983-5A6B7A8AA72C}" type="TxLink">
            <a:rPr lang="en-US" sz="1400" b="0" i="0" u="none" strike="noStrike">
              <a:solidFill>
                <a:schemeClr val="bg1"/>
              </a:solidFill>
              <a:latin typeface="Arial Black" panose="020B0A04020102020204" pitchFamily="34" charset="0"/>
              <a:ea typeface="Calibri"/>
              <a:cs typeface="Calibri"/>
            </a:rPr>
            <a:pPr/>
            <a:t>32.35%</a:t>
          </a:fld>
          <a:endParaRPr lang="en-IN" sz="1400">
            <a:solidFill>
              <a:schemeClr val="bg1"/>
            </a:solidFill>
            <a:latin typeface="Arial Black" panose="020B0A04020102020204" pitchFamily="34" charset="0"/>
          </a:endParaRPr>
        </a:p>
      </xdr:txBody>
    </xdr:sp>
    <xdr:clientData/>
  </xdr:twoCellAnchor>
  <xdr:twoCellAnchor>
    <xdr:from>
      <xdr:col>25</xdr:col>
      <xdr:colOff>385821</xdr:colOff>
      <xdr:row>18</xdr:row>
      <xdr:rowOff>180854</xdr:rowOff>
    </xdr:from>
    <xdr:to>
      <xdr:col>29</xdr:col>
      <xdr:colOff>174402</xdr:colOff>
      <xdr:row>21</xdr:row>
      <xdr:rowOff>0</xdr:rowOff>
    </xdr:to>
    <xdr:sp macro="" textlink="">
      <xdr:nvSpPr>
        <xdr:cNvPr id="42" name="TextBox 41">
          <a:extLst>
            <a:ext uri="{FF2B5EF4-FFF2-40B4-BE49-F238E27FC236}">
              <a16:creationId xmlns:a16="http://schemas.microsoft.com/office/drawing/2014/main" id="{81E2D1FC-D744-DAE5-FB38-EEFA3DC15465}"/>
            </a:ext>
          </a:extLst>
        </xdr:cNvPr>
        <xdr:cNvSpPr txBox="1"/>
      </xdr:nvSpPr>
      <xdr:spPr>
        <a:xfrm>
          <a:off x="15478251" y="3561558"/>
          <a:ext cx="2203369" cy="382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Arial Black" panose="020B0A04020102020204" pitchFamily="34" charset="0"/>
            </a:rPr>
            <a:t>% of</a:t>
          </a:r>
          <a:r>
            <a:rPr lang="en-IN" sz="1400" baseline="0">
              <a:solidFill>
                <a:schemeClr val="bg1"/>
              </a:solidFill>
              <a:latin typeface="Arial Black" panose="020B0A04020102020204" pitchFamily="34" charset="0"/>
            </a:rPr>
            <a:t> Fast Delivery</a:t>
          </a:r>
          <a:endParaRPr lang="en-IN" sz="1400">
            <a:solidFill>
              <a:schemeClr val="bg1"/>
            </a:solidFill>
            <a:latin typeface="Arial Black" panose="020B0A04020102020204" pitchFamily="34" charset="0"/>
          </a:endParaRPr>
        </a:p>
      </xdr:txBody>
    </xdr:sp>
    <xdr:clientData/>
  </xdr:twoCellAnchor>
  <xdr:twoCellAnchor>
    <xdr:from>
      <xdr:col>25</xdr:col>
      <xdr:colOff>301424</xdr:colOff>
      <xdr:row>27</xdr:row>
      <xdr:rowOff>132626</xdr:rowOff>
    </xdr:from>
    <xdr:to>
      <xdr:col>29</xdr:col>
      <xdr:colOff>48228</xdr:colOff>
      <xdr:row>30</xdr:row>
      <xdr:rowOff>60284</xdr:rowOff>
    </xdr:to>
    <xdr:sp macro="" textlink="">
      <xdr:nvSpPr>
        <xdr:cNvPr id="43" name="TextBox 42">
          <a:extLst>
            <a:ext uri="{FF2B5EF4-FFF2-40B4-BE49-F238E27FC236}">
              <a16:creationId xmlns:a16="http://schemas.microsoft.com/office/drawing/2014/main" id="{ADD1BD56-2A39-917D-BEF4-4B8E1AC9838E}"/>
            </a:ext>
          </a:extLst>
        </xdr:cNvPr>
        <xdr:cNvSpPr txBox="1"/>
      </xdr:nvSpPr>
      <xdr:spPr>
        <a:xfrm>
          <a:off x="15674051" y="5341234"/>
          <a:ext cx="2206424" cy="506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Arial Black" panose="020B0A04020102020204" pitchFamily="34" charset="0"/>
            </a:rPr>
            <a:t>Top Selling Product</a:t>
          </a:r>
        </a:p>
      </xdr:txBody>
    </xdr:sp>
    <xdr:clientData/>
  </xdr:twoCellAnchor>
  <xdr:oneCellAnchor>
    <xdr:from>
      <xdr:col>26</xdr:col>
      <xdr:colOff>180855</xdr:colOff>
      <xdr:row>30</xdr:row>
      <xdr:rowOff>120569</xdr:rowOff>
    </xdr:from>
    <xdr:ext cx="799636" cy="626962"/>
    <xdr:sp macro="" textlink="">
      <xdr:nvSpPr>
        <xdr:cNvPr id="44" name="TextBox 43">
          <a:extLst>
            <a:ext uri="{FF2B5EF4-FFF2-40B4-BE49-F238E27FC236}">
              <a16:creationId xmlns:a16="http://schemas.microsoft.com/office/drawing/2014/main" id="{32F0536D-FABE-611E-B192-C5D6375542BD}"/>
            </a:ext>
          </a:extLst>
        </xdr:cNvPr>
        <xdr:cNvSpPr txBox="1"/>
      </xdr:nvSpPr>
      <xdr:spPr>
        <a:xfrm>
          <a:off x="16168387" y="5907911"/>
          <a:ext cx="799636" cy="6269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26</xdr:col>
      <xdr:colOff>165087</xdr:colOff>
      <xdr:row>29</xdr:row>
      <xdr:rowOff>99053</xdr:rowOff>
    </xdr:from>
    <xdr:to>
      <xdr:col>28</xdr:col>
      <xdr:colOff>351229</xdr:colOff>
      <xdr:row>30</xdr:row>
      <xdr:rowOff>171395</xdr:rowOff>
    </xdr:to>
    <xdr:sp macro="" textlink="pivot_Table!Y4">
      <xdr:nvSpPr>
        <xdr:cNvPr id="45" name="TextBox 44">
          <a:extLst>
            <a:ext uri="{FF2B5EF4-FFF2-40B4-BE49-F238E27FC236}">
              <a16:creationId xmlns:a16="http://schemas.microsoft.com/office/drawing/2014/main" id="{B3E50BB3-5871-9C2C-55D5-C15DC1881FF0}"/>
            </a:ext>
          </a:extLst>
        </xdr:cNvPr>
        <xdr:cNvSpPr txBox="1"/>
      </xdr:nvSpPr>
      <xdr:spPr>
        <a:xfrm>
          <a:off x="15976587" y="5623553"/>
          <a:ext cx="1402411" cy="262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E917CF-6D0B-42E2-9F6F-327AD1B1F149}" type="TxLink">
            <a:rPr lang="en-US" sz="1400" b="0" i="0" u="none" strike="noStrike">
              <a:solidFill>
                <a:schemeClr val="bg1"/>
              </a:solidFill>
              <a:latin typeface="Arial Black" panose="020B0A04020102020204" pitchFamily="34" charset="0"/>
              <a:ea typeface="Calibri"/>
              <a:cs typeface="Calibri"/>
            </a:rPr>
            <a:pPr/>
            <a:t>Electronics</a:t>
          </a:fld>
          <a:endParaRPr lang="en-IN" sz="1400">
            <a:solidFill>
              <a:schemeClr val="bg1"/>
            </a:solidFill>
            <a:latin typeface="Arial Black" panose="020B0A04020102020204" pitchFamily="34" charset="0"/>
          </a:endParaRPr>
        </a:p>
      </xdr:txBody>
    </xdr:sp>
    <xdr:clientData/>
  </xdr:twoCellAnchor>
  <xdr:twoCellAnchor>
    <xdr:from>
      <xdr:col>26</xdr:col>
      <xdr:colOff>79374</xdr:colOff>
      <xdr:row>36</xdr:row>
      <xdr:rowOff>158749</xdr:rowOff>
    </xdr:from>
    <xdr:to>
      <xdr:col>28</xdr:col>
      <xdr:colOff>487588</xdr:colOff>
      <xdr:row>38</xdr:row>
      <xdr:rowOff>158749</xdr:rowOff>
    </xdr:to>
    <xdr:sp macro="" textlink="">
      <xdr:nvSpPr>
        <xdr:cNvPr id="46" name="TextBox 45">
          <a:extLst>
            <a:ext uri="{FF2B5EF4-FFF2-40B4-BE49-F238E27FC236}">
              <a16:creationId xmlns:a16="http://schemas.microsoft.com/office/drawing/2014/main" id="{4C1608D4-EB94-6827-5EDF-D25DF1947772}"/>
            </a:ext>
          </a:extLst>
        </xdr:cNvPr>
        <xdr:cNvSpPr txBox="1"/>
      </xdr:nvSpPr>
      <xdr:spPr>
        <a:xfrm>
          <a:off x="15999731" y="7098392"/>
          <a:ext cx="1632857" cy="38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Arial Black" panose="020B0A04020102020204" pitchFamily="34" charset="0"/>
            </a:rPr>
            <a:t>Avg. Sales</a:t>
          </a:r>
        </a:p>
      </xdr:txBody>
    </xdr:sp>
    <xdr:clientData/>
  </xdr:twoCellAnchor>
  <xdr:twoCellAnchor>
    <xdr:from>
      <xdr:col>26</xdr:col>
      <xdr:colOff>192767</xdr:colOff>
      <xdr:row>38</xdr:row>
      <xdr:rowOff>147411</xdr:rowOff>
    </xdr:from>
    <xdr:to>
      <xdr:col>28</xdr:col>
      <xdr:colOff>147411</xdr:colOff>
      <xdr:row>40</xdr:row>
      <xdr:rowOff>124732</xdr:rowOff>
    </xdr:to>
    <xdr:sp macro="" textlink="pivot_Table!V6">
      <xdr:nvSpPr>
        <xdr:cNvPr id="47" name="TextBox 46">
          <a:extLst>
            <a:ext uri="{FF2B5EF4-FFF2-40B4-BE49-F238E27FC236}">
              <a16:creationId xmlns:a16="http://schemas.microsoft.com/office/drawing/2014/main" id="{18926983-E330-56E1-CBDC-497363C739A9}"/>
            </a:ext>
          </a:extLst>
        </xdr:cNvPr>
        <xdr:cNvSpPr txBox="1"/>
      </xdr:nvSpPr>
      <xdr:spPr>
        <a:xfrm>
          <a:off x="16113124" y="7472590"/>
          <a:ext cx="1179287" cy="362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E2AE06-31AB-4E79-9291-E9CCE1B58926}" type="TxLink">
            <a:rPr lang="en-US" sz="1400" b="0" i="0" u="none" strike="noStrike">
              <a:solidFill>
                <a:schemeClr val="bg1"/>
              </a:solidFill>
              <a:latin typeface="Arial Black" panose="020B0A04020102020204" pitchFamily="34" charset="0"/>
              <a:ea typeface="Calibri"/>
              <a:cs typeface="Calibri"/>
            </a:rPr>
            <a:pPr/>
            <a:t>$352.58</a:t>
          </a:fld>
          <a:endParaRPr lang="en-IN" sz="1400">
            <a:solidFill>
              <a:schemeClr val="bg1"/>
            </a:solidFill>
            <a:latin typeface="Arial Black" panose="020B0A04020102020204" pitchFamily="34" charset="0"/>
          </a:endParaRPr>
        </a:p>
      </xdr:txBody>
    </xdr:sp>
    <xdr:clientData/>
  </xdr:twoCellAnchor>
  <xdr:twoCellAnchor editAs="oneCell">
    <xdr:from>
      <xdr:col>2</xdr:col>
      <xdr:colOff>80494</xdr:colOff>
      <xdr:row>41</xdr:row>
      <xdr:rowOff>147570</xdr:rowOff>
    </xdr:from>
    <xdr:to>
      <xdr:col>3</xdr:col>
      <xdr:colOff>391196</xdr:colOff>
      <xdr:row>46</xdr:row>
      <xdr:rowOff>122886</xdr:rowOff>
    </xdr:to>
    <xdr:pic>
      <xdr:nvPicPr>
        <xdr:cNvPr id="49" name="Graphic 48" descr="Home with solid fill">
          <a:hlinkClick xmlns:r="http://schemas.openxmlformats.org/officeDocument/2006/relationships" r:id="rId12"/>
          <a:extLst>
            <a:ext uri="{FF2B5EF4-FFF2-40B4-BE49-F238E27FC236}">
              <a16:creationId xmlns:a16="http://schemas.microsoft.com/office/drawing/2014/main" id="{B08B0D1E-90EC-547F-B4FC-7D0D0D3C1EF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87888" y="7848063"/>
          <a:ext cx="914400" cy="914400"/>
        </a:xfrm>
        <a:prstGeom prst="rect">
          <a:avLst/>
        </a:prstGeom>
      </xdr:spPr>
    </xdr:pic>
    <xdr:clientData/>
  </xdr:twoCellAnchor>
  <xdr:twoCellAnchor editAs="oneCell">
    <xdr:from>
      <xdr:col>3</xdr:col>
      <xdr:colOff>496372</xdr:colOff>
      <xdr:row>42</xdr:row>
      <xdr:rowOff>93907</xdr:rowOff>
    </xdr:from>
    <xdr:to>
      <xdr:col>5</xdr:col>
      <xdr:colOff>176547</xdr:colOff>
      <xdr:row>47</xdr:row>
      <xdr:rowOff>42392</xdr:rowOff>
    </xdr:to>
    <xdr:pic>
      <xdr:nvPicPr>
        <xdr:cNvPr id="51" name="Graphic 50" descr="Database with solid fill">
          <a:hlinkClick xmlns:r="http://schemas.openxmlformats.org/officeDocument/2006/relationships" r:id="rId15"/>
          <a:extLst>
            <a:ext uri="{FF2B5EF4-FFF2-40B4-BE49-F238E27FC236}">
              <a16:creationId xmlns:a16="http://schemas.microsoft.com/office/drawing/2014/main" id="{D8FF701B-D35E-689B-CC2B-ACBD666C02E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307464" y="7982217"/>
          <a:ext cx="887569" cy="887569"/>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0.46063</cdr:x>
      <cdr:y>3.48573E-7</cdr:y>
    </cdr:from>
    <cdr:to>
      <cdr:x>1</cdr:x>
      <cdr:y>0.20751</cdr:y>
    </cdr:to>
    <cdr:pic>
      <cdr:nvPicPr>
        <cdr:cNvPr id="2" name="Picture 1">
          <a:extLst xmlns:a="http://schemas.openxmlformats.org/drawingml/2006/main">
            <a:ext uri="{FF2B5EF4-FFF2-40B4-BE49-F238E27FC236}">
              <a16:creationId xmlns:a16="http://schemas.microsoft.com/office/drawing/2014/main" id="{5CD24AD2-8B61-09F6-35B2-103D10BC08A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2056190" y="1"/>
          <a:ext cx="2407709" cy="595312"/>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refreshedDate="46027.775779166666" createdVersion="8" refreshedVersion="8" minRefreshableVersion="3" recordCount="100" xr:uid="{74B87949-2382-4152-978A-4E94C8031EE0}">
  <cacheSource type="worksheet">
    <worksheetSource name="AmazonSales"/>
  </cacheSource>
  <cacheFields count="30">
    <cacheField name="Order ID"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9"/>
    </cacheField>
    <cacheField name="Delivery Date" numFmtId="14">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fieldGroup par="27"/>
    </cacheField>
    <cacheField name="Cancel Date" numFmtId="14">
      <sharedItems containsNonDate="0" containsDate="1" containsString="0" containsBlank="1" minDate="2023-01-24T00:00:00" maxDate="2024-01-03T00:00:00"/>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Status" numFmtId="0">
      <sharedItems/>
    </cacheField>
    <cacheField name="Product_Category" numFmtId="0">
      <sharedItems count="5">
        <s v="Home"/>
        <s v="Toys"/>
        <s v="Fashion"/>
        <s v="Electronics"/>
        <s v="Books"/>
      </sharedItems>
    </cacheField>
    <cacheField name="delivery_time(days)" numFmtId="0">
      <sharedItems containsMixedTypes="1" containsNumber="1" containsInteger="1" minValue="1" maxValue="7"/>
    </cacheField>
    <cacheField name="Customer_name" numFmtId="0">
      <sharedItems/>
    </cacheField>
    <cacheField name="Delivery_Performance" numFmtId="0">
      <sharedItems/>
    </cacheField>
    <cacheField name="Cancel_orders" numFmtId="0">
      <sharedItems/>
    </cacheField>
    <cacheField name="Cancellation_flag" numFmtId="0">
      <sharedItems containsSemiMixedTypes="0" containsString="0" containsNumber="1" containsInteger="1" minValue="0" maxValue="1"/>
    </cacheField>
    <cacheField name="delivered_sales" numFmtId="0">
      <sharedItems containsSemiMixedTypes="0" containsString="0" containsNumber="1" containsInteger="1" minValue="0" maxValue="3260"/>
    </cacheField>
    <cacheField name="Total_deliver" numFmtId="0">
      <sharedItems containsSemiMixedTypes="0" containsString="0" containsNumber="1" containsInteger="1" minValue="0" maxValue="1"/>
    </cacheField>
    <cacheField name="Field2" numFmtId="0" formula="Cancellation_flag/100" databaseField="0"/>
    <cacheField name="Effective_sales" numFmtId="0" formula="delivered_sales" databaseField="0"/>
    <cacheField name="Field1" numFmtId="0" formula="Total_deliver/34" databaseField="0"/>
    <cacheField name="Months (Delivery Date)" numFmtId="0" databaseField="0">
      <fieldGroup base="2">
        <rangePr groupBy="months" startDate="2023-01-09T00:00:00" endDate="2024-01-02T00:00:00"/>
        <groupItems count="14">
          <s v="&lt;09-01-2023"/>
          <s v="Jan"/>
          <s v="Feb"/>
          <s v="Mar"/>
          <s v="Apr"/>
          <s v="May"/>
          <s v="Jun"/>
          <s v="Jul"/>
          <s v="Aug"/>
          <s v="Sep"/>
          <s v="Oct"/>
          <s v="Nov"/>
          <s v="Dec"/>
          <s v="&gt;02-01-2024"/>
        </groupItems>
      </fieldGroup>
    </cacheField>
    <cacheField name="Quarters (Delivery Date)" numFmtId="0" databaseField="0">
      <fieldGroup base="2">
        <rangePr groupBy="quarters" startDate="2023-01-09T00:00:00" endDate="2024-01-02T00:00:00"/>
        <groupItems count="6">
          <s v="&lt;09-01-2023"/>
          <s v="Qtr1"/>
          <s v="Qtr2"/>
          <s v="Qtr3"/>
          <s v="Qtr4"/>
          <s v="&gt;02-01-2024"/>
        </groupItems>
      </fieldGroup>
    </cacheField>
    <cacheField name="Years (Delivery Date)" numFmtId="0" databaseField="0">
      <fieldGroup base="2">
        <rangePr groupBy="years" startDate="2023-01-09T00:00:00" endDate="2024-01-02T00:00:00"/>
        <groupItems count="4">
          <s v="&lt;09-01-2023"/>
          <s v="2023"/>
          <s v="2024"/>
          <s v="&gt;02-01-2024"/>
        </groupItems>
      </fieldGroup>
    </cacheField>
    <cacheField name="Days (Order Date)" numFmtId="0" databaseField="0">
      <fieldGroup base="1">
        <rangePr groupBy="days" startDate="2023-01-07T00:00:00" endDate="2024-01-01T00:00:00"/>
        <groupItems count="368">
          <s v="&lt;07-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Order Date)"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926756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x v="0"/>
    <d v="2024-01-02T00:00:00"/>
    <s v="CUST021"/>
    <s v="PROD012"/>
    <x v="0"/>
    <n v="44"/>
    <n v="1"/>
    <n v="44"/>
    <x v="0"/>
    <x v="0"/>
    <s v="DHL"/>
    <s v="Cancelled"/>
    <x v="0"/>
    <s v=""/>
    <s v="Zoe Mitchell"/>
    <s v=""/>
    <s v="cancelled"/>
    <n v="1"/>
    <n v="0"/>
    <n v="0"/>
  </r>
  <r>
    <s v="ORD0002"/>
    <x v="1"/>
    <x v="1"/>
    <m/>
    <s v="CUST029"/>
    <s v="PROD018"/>
    <x v="1"/>
    <n v="96"/>
    <n v="4"/>
    <n v="384"/>
    <x v="1"/>
    <x v="1"/>
    <s v="DHL"/>
    <s v="Completed"/>
    <x v="1"/>
    <n v="2"/>
    <s v="Ava White"/>
    <s v="Fast"/>
    <s v="not_cancelled"/>
    <n v="0"/>
    <n v="384"/>
    <n v="1"/>
  </r>
  <r>
    <s v="ORD0003"/>
    <x v="2"/>
    <x v="0"/>
    <m/>
    <s v="CUST021"/>
    <s v="PROD013"/>
    <x v="2"/>
    <n v="194"/>
    <n v="4"/>
    <n v="776"/>
    <x v="1"/>
    <x v="2"/>
    <s v="USPS"/>
    <s v="Completed"/>
    <x v="0"/>
    <s v=""/>
    <s v="Zoe Mitchell"/>
    <s v=""/>
    <s v="not_cancelled"/>
    <n v="0"/>
    <n v="0"/>
    <n v="0"/>
  </r>
  <r>
    <s v="ORD0004"/>
    <x v="3"/>
    <x v="0"/>
    <d v="2023-05-11T00:00:00"/>
    <s v="CUST044"/>
    <s v="PROD013"/>
    <x v="0"/>
    <n v="196"/>
    <n v="3"/>
    <n v="588"/>
    <x v="2"/>
    <x v="0"/>
    <s v="UPS"/>
    <s v="Cancelled"/>
    <x v="0"/>
    <s v=""/>
    <s v="Grace Ward"/>
    <s v=""/>
    <s v="cancelled"/>
    <n v="1"/>
    <n v="0"/>
    <n v="0"/>
  </r>
  <r>
    <s v="ORD0005"/>
    <x v="4"/>
    <x v="2"/>
    <m/>
    <s v="CUST027"/>
    <s v="PROD010"/>
    <x v="0"/>
    <n v="59"/>
    <n v="1"/>
    <n v="59"/>
    <x v="2"/>
    <x v="1"/>
    <s v="Amazon Logistics"/>
    <s v="Completed"/>
    <x v="2"/>
    <n v="3"/>
    <s v="Hazel Brooks"/>
    <s v="Slow"/>
    <s v="not_cancelled"/>
    <n v="0"/>
    <n v="59"/>
    <n v="0"/>
  </r>
  <r>
    <s v="ORD0006"/>
    <x v="5"/>
    <x v="0"/>
    <d v="2023-11-02T00:00:00"/>
    <s v="CUST009"/>
    <s v="PROD010"/>
    <x v="0"/>
    <n v="58"/>
    <n v="4"/>
    <n v="232"/>
    <x v="3"/>
    <x v="0"/>
    <s v="DHL"/>
    <s v="Cancelled"/>
    <x v="2"/>
    <s v=""/>
    <s v="Jackson Allen"/>
    <s v=""/>
    <s v="cancelled"/>
    <n v="1"/>
    <n v="0"/>
    <n v="0"/>
  </r>
  <r>
    <s v="ORD0007"/>
    <x v="6"/>
    <x v="0"/>
    <d v="2023-08-18T00:00:00"/>
    <s v="CUST042"/>
    <s v="PROD020"/>
    <x v="3"/>
    <n v="105"/>
    <n v="3"/>
    <n v="315"/>
    <x v="4"/>
    <x v="0"/>
    <s v="DHL"/>
    <s v="Cancelled"/>
    <x v="3"/>
    <s v=""/>
    <s v="Noah Wilson"/>
    <s v=""/>
    <s v="cancelled"/>
    <n v="1"/>
    <n v="0"/>
    <n v="0"/>
  </r>
  <r>
    <s v="ORD0008"/>
    <x v="7"/>
    <x v="0"/>
    <d v="2023-04-06T00:00:00"/>
    <s v="CUST019"/>
    <s v="PROD021"/>
    <x v="4"/>
    <n v="37"/>
    <n v="5"/>
    <n v="185"/>
    <x v="2"/>
    <x v="0"/>
    <s v="DHL"/>
    <s v="Cancelled"/>
    <x v="0"/>
    <s v=""/>
    <s v="Ava Robinson"/>
    <s v=""/>
    <s v="cancelled"/>
    <n v="1"/>
    <n v="0"/>
    <n v="0"/>
  </r>
  <r>
    <s v="ORD0009"/>
    <x v="8"/>
    <x v="0"/>
    <m/>
    <s v="CUST013"/>
    <s v="PROD019"/>
    <x v="3"/>
    <n v="44"/>
    <n v="2"/>
    <n v="88"/>
    <x v="1"/>
    <x v="2"/>
    <s v="Amazon Logistics"/>
    <s v="Completed"/>
    <x v="2"/>
    <s v=""/>
    <s v="Olivia Martinez"/>
    <s v=""/>
    <s v="not_cancelled"/>
    <n v="0"/>
    <n v="0"/>
    <n v="0"/>
  </r>
  <r>
    <s v="ORD0010"/>
    <x v="9"/>
    <x v="0"/>
    <m/>
    <s v="CUST019"/>
    <s v="PROD003"/>
    <x v="2"/>
    <n v="141"/>
    <n v="4"/>
    <n v="564"/>
    <x v="4"/>
    <x v="2"/>
    <s v="DHL"/>
    <s v="Completed"/>
    <x v="0"/>
    <s v=""/>
    <s v="Ava Robinson"/>
    <s v=""/>
    <s v="not_cancelled"/>
    <n v="0"/>
    <n v="0"/>
    <n v="0"/>
  </r>
  <r>
    <s v="ORD0011"/>
    <x v="10"/>
    <x v="0"/>
    <d v="2023-05-08T00:00:00"/>
    <s v="CUST046"/>
    <s v="PROD014"/>
    <x v="2"/>
    <n v="249"/>
    <n v="1"/>
    <n v="249"/>
    <x v="3"/>
    <x v="0"/>
    <s v="USPS"/>
    <s v="Cancelled"/>
    <x v="3"/>
    <s v=""/>
    <s v="Emily Johnson"/>
    <s v=""/>
    <s v="cancelled"/>
    <n v="1"/>
    <n v="0"/>
    <n v="0"/>
  </r>
  <r>
    <s v="ORD0012"/>
    <x v="11"/>
    <x v="0"/>
    <m/>
    <s v="CUST045"/>
    <s v="PROD014"/>
    <x v="3"/>
    <n v="247"/>
    <n v="3"/>
    <n v="741"/>
    <x v="3"/>
    <x v="2"/>
    <s v="FedEx"/>
    <s v="Completed"/>
    <x v="3"/>
    <s v=""/>
    <s v="Emily Johnson"/>
    <s v=""/>
    <s v="not_cancelled"/>
    <n v="0"/>
    <n v="0"/>
    <n v="0"/>
  </r>
  <r>
    <s v="ORD0013"/>
    <x v="12"/>
    <x v="0"/>
    <d v="2023-02-28T00:00:00"/>
    <s v="CUST023"/>
    <s v="PROD006"/>
    <x v="3"/>
    <n v="96"/>
    <n v="1"/>
    <n v="96"/>
    <x v="0"/>
    <x v="0"/>
    <s v="Amazon Logistics"/>
    <s v="Cancelled"/>
    <x v="2"/>
    <s v=""/>
    <s v="Charlotte Reed"/>
    <s v=""/>
    <s v="cancelled"/>
    <n v="1"/>
    <n v="0"/>
    <n v="0"/>
  </r>
  <r>
    <s v="ORD0014"/>
    <x v="13"/>
    <x v="0"/>
    <d v="2023-02-25T00:00:00"/>
    <s v="CUST033"/>
    <s v="PROD017"/>
    <x v="4"/>
    <n v="74"/>
    <n v="5"/>
    <n v="370"/>
    <x v="0"/>
    <x v="0"/>
    <s v="Amazon Logistics"/>
    <s v="Cancelled"/>
    <x v="3"/>
    <s v=""/>
    <s v="Hazel Rivera"/>
    <s v=""/>
    <s v="cancelled"/>
    <n v="1"/>
    <n v="0"/>
    <n v="0"/>
  </r>
  <r>
    <s v="ORD0015"/>
    <x v="14"/>
    <x v="0"/>
    <d v="2023-09-02T00:00:00"/>
    <s v="CUST033"/>
    <s v="PROD005"/>
    <x v="2"/>
    <n v="27"/>
    <n v="1"/>
    <n v="27"/>
    <x v="1"/>
    <x v="0"/>
    <s v="Amazon Logistics"/>
    <s v="Cancelled"/>
    <x v="2"/>
    <s v=""/>
    <s v="Hazel Rivera"/>
    <s v=""/>
    <s v="cancelled"/>
    <n v="1"/>
    <n v="0"/>
    <n v="0"/>
  </r>
  <r>
    <s v="ORD0016"/>
    <x v="15"/>
    <x v="0"/>
    <m/>
    <s v="CUST047"/>
    <s v="PROD005"/>
    <x v="2"/>
    <n v="27"/>
    <n v="3"/>
    <n v="81"/>
    <x v="4"/>
    <x v="2"/>
    <s v="Amazon Logistics"/>
    <s v="Completed"/>
    <x v="2"/>
    <s v=""/>
    <s v="Scarlett Murphy"/>
    <s v=""/>
    <s v="not_cancelled"/>
    <n v="0"/>
    <n v="0"/>
    <n v="0"/>
  </r>
  <r>
    <s v="ORD0017"/>
    <x v="16"/>
    <x v="3"/>
    <m/>
    <s v="CUST045"/>
    <s v="PROD015"/>
    <x v="1"/>
    <n v="21"/>
    <n v="3"/>
    <n v="63"/>
    <x v="1"/>
    <x v="1"/>
    <s v="DHL"/>
    <s v="Completed"/>
    <x v="4"/>
    <n v="3"/>
    <s v="Emily Johnson"/>
    <s v="Slow"/>
    <s v="not_cancelled"/>
    <n v="0"/>
    <n v="63"/>
    <n v="0"/>
  </r>
  <r>
    <s v="ORD0018"/>
    <x v="17"/>
    <x v="0"/>
    <m/>
    <s v="CUST011"/>
    <s v="PROD008"/>
    <x v="4"/>
    <n v="70"/>
    <n v="5"/>
    <n v="350"/>
    <x v="2"/>
    <x v="2"/>
    <s v="Amazon Logistics"/>
    <s v="Completed"/>
    <x v="4"/>
    <s v=""/>
    <s v="Mason Hall"/>
    <s v=""/>
    <s v="not_cancelled"/>
    <n v="0"/>
    <n v="0"/>
    <n v="0"/>
  </r>
  <r>
    <s v="ORD0019"/>
    <x v="18"/>
    <x v="0"/>
    <m/>
    <s v="CUST041"/>
    <s v="PROD006"/>
    <x v="2"/>
    <n v="94"/>
    <n v="4"/>
    <n v="376"/>
    <x v="1"/>
    <x v="2"/>
    <s v="USPS"/>
    <s v="Completed"/>
    <x v="2"/>
    <s v=""/>
    <s v="Jacob Price"/>
    <s v=""/>
    <s v="not_cancelled"/>
    <n v="0"/>
    <n v="0"/>
    <n v="0"/>
  </r>
  <r>
    <s v="ORD0020"/>
    <x v="19"/>
    <x v="0"/>
    <m/>
    <s v="CUST025"/>
    <s v="PROD001"/>
    <x v="0"/>
    <n v="813"/>
    <n v="2"/>
    <n v="1626"/>
    <x v="1"/>
    <x v="2"/>
    <s v="FedEx"/>
    <s v="Completed"/>
    <x v="3"/>
    <s v=""/>
    <s v="Emma King"/>
    <s v=""/>
    <s v="not_cancelled"/>
    <n v="0"/>
    <n v="0"/>
    <n v="0"/>
  </r>
  <r>
    <s v="ORD0021"/>
    <x v="20"/>
    <x v="0"/>
    <m/>
    <s v="CUST013"/>
    <s v="PROD015"/>
    <x v="3"/>
    <n v="21"/>
    <n v="4"/>
    <n v="84"/>
    <x v="2"/>
    <x v="2"/>
    <s v="Amazon Logistics"/>
    <s v="Completed"/>
    <x v="4"/>
    <s v=""/>
    <s v="Olivia Martinez"/>
    <s v=""/>
    <s v="not_cancelled"/>
    <n v="0"/>
    <n v="0"/>
    <n v="0"/>
  </r>
  <r>
    <s v="ORD0022"/>
    <x v="21"/>
    <x v="0"/>
    <m/>
    <s v="CUST023"/>
    <s v="PROD012"/>
    <x v="4"/>
    <n v="46"/>
    <n v="5"/>
    <n v="230"/>
    <x v="2"/>
    <x v="2"/>
    <s v="USPS"/>
    <s v="Completed"/>
    <x v="0"/>
    <s v=""/>
    <s v="Charlotte Reed"/>
    <s v=""/>
    <s v="not_cancelled"/>
    <n v="0"/>
    <n v="0"/>
    <n v="0"/>
  </r>
  <r>
    <s v="ORD0023"/>
    <x v="15"/>
    <x v="0"/>
    <d v="2023-02-14T00:00:00"/>
    <s v="CUST016"/>
    <s v="PROD010"/>
    <x v="4"/>
    <n v="58"/>
    <n v="3"/>
    <n v="174"/>
    <x v="3"/>
    <x v="0"/>
    <s v="Amazon Logistics"/>
    <s v="Cancelled"/>
    <x v="2"/>
    <s v=""/>
    <s v="Elijah Lewis"/>
    <s v=""/>
    <s v="cancelled"/>
    <n v="1"/>
    <n v="0"/>
    <n v="0"/>
  </r>
  <r>
    <s v="ORD0024"/>
    <x v="22"/>
    <x v="4"/>
    <m/>
    <s v="CUST028"/>
    <s v="PROD006"/>
    <x v="4"/>
    <n v="96"/>
    <n v="5"/>
    <n v="480"/>
    <x v="3"/>
    <x v="1"/>
    <s v="Amazon Logistics"/>
    <s v="Completed"/>
    <x v="2"/>
    <n v="3"/>
    <s v="Lily Bennett"/>
    <s v="Slow"/>
    <s v="not_cancelled"/>
    <n v="0"/>
    <n v="480"/>
    <n v="0"/>
  </r>
  <r>
    <s v="ORD0025"/>
    <x v="23"/>
    <x v="5"/>
    <m/>
    <s v="CUST040"/>
    <s v="PROD002"/>
    <x v="2"/>
    <n v="43"/>
    <n v="1"/>
    <n v="43"/>
    <x v="4"/>
    <x v="1"/>
    <s v="Amazon Logistics"/>
    <s v="Completed"/>
    <x v="1"/>
    <n v="2"/>
    <s v="Benjamin Clark"/>
    <s v="Fast"/>
    <s v="not_cancelled"/>
    <n v="0"/>
    <n v="43"/>
    <n v="1"/>
  </r>
  <r>
    <s v="ORD0026"/>
    <x v="24"/>
    <x v="6"/>
    <m/>
    <s v="CUST027"/>
    <s v="PROD022"/>
    <x v="2"/>
    <n v="64"/>
    <n v="4"/>
    <n v="256"/>
    <x v="4"/>
    <x v="1"/>
    <s v="USPS"/>
    <s v="Completed"/>
    <x v="2"/>
    <n v="6"/>
    <s v="Hazel Brooks"/>
    <s v="Slow"/>
    <s v="not_cancelled"/>
    <n v="0"/>
    <n v="256"/>
    <n v="0"/>
  </r>
  <r>
    <s v="ORD0027"/>
    <x v="25"/>
    <x v="0"/>
    <m/>
    <s v="CUST018"/>
    <s v="PROD008"/>
    <x v="2"/>
    <n v="70"/>
    <n v="2"/>
    <n v="140"/>
    <x v="3"/>
    <x v="2"/>
    <s v="Amazon Logistics"/>
    <s v="Completed"/>
    <x v="4"/>
    <s v=""/>
    <s v="Grace Scott"/>
    <s v=""/>
    <s v="not_cancelled"/>
    <n v="0"/>
    <n v="0"/>
    <n v="0"/>
  </r>
  <r>
    <s v="ORD0028"/>
    <x v="26"/>
    <x v="0"/>
    <m/>
    <s v="CUST018"/>
    <s v="PROD018"/>
    <x v="3"/>
    <n v="97"/>
    <n v="3"/>
    <n v="291"/>
    <x v="1"/>
    <x v="2"/>
    <s v="Amazon Logistics"/>
    <s v="Completed"/>
    <x v="1"/>
    <s v=""/>
    <s v="Grace Scott"/>
    <s v=""/>
    <s v="not_cancelled"/>
    <n v="0"/>
    <n v="0"/>
    <n v="0"/>
  </r>
  <r>
    <s v="ORD0029"/>
    <x v="27"/>
    <x v="0"/>
    <d v="2023-10-10T00:00:00"/>
    <s v="CUST007"/>
    <s v="PROD021"/>
    <x v="1"/>
    <n v="37"/>
    <n v="3"/>
    <n v="111"/>
    <x v="0"/>
    <x v="0"/>
    <s v="DHL"/>
    <s v="Cancelled"/>
    <x v="0"/>
    <s v=""/>
    <s v="Liam Walker"/>
    <s v=""/>
    <s v="cancelled"/>
    <n v="1"/>
    <n v="0"/>
    <n v="0"/>
  </r>
  <r>
    <s v="ORD0030"/>
    <x v="28"/>
    <x v="0"/>
    <m/>
    <s v="CUST008"/>
    <s v="PROD008"/>
    <x v="0"/>
    <n v="69"/>
    <n v="5"/>
    <n v="345"/>
    <x v="3"/>
    <x v="2"/>
    <s v="Amazon Logistics"/>
    <s v="Completed"/>
    <x v="4"/>
    <s v=""/>
    <s v="Harper Young"/>
    <s v=""/>
    <s v="not_cancelled"/>
    <n v="0"/>
    <n v="0"/>
    <n v="0"/>
  </r>
  <r>
    <s v="ORD0031"/>
    <x v="29"/>
    <x v="0"/>
    <m/>
    <s v="CUST014"/>
    <s v="PROD002"/>
    <x v="0"/>
    <n v="42"/>
    <n v="5"/>
    <n v="210"/>
    <x v="3"/>
    <x v="2"/>
    <s v="UPS"/>
    <s v="Completed"/>
    <x v="1"/>
    <s v=""/>
    <s v="Harper Young"/>
    <s v=""/>
    <s v="not_cancelled"/>
    <n v="0"/>
    <n v="0"/>
    <n v="0"/>
  </r>
  <r>
    <s v="ORD0032"/>
    <x v="30"/>
    <x v="0"/>
    <d v="2023-06-22T00:00:00"/>
    <s v="CUST037"/>
    <s v="PROD009"/>
    <x v="1"/>
    <n v="11"/>
    <n v="5"/>
    <n v="55"/>
    <x v="4"/>
    <x v="0"/>
    <s v="FedEx"/>
    <s v="Cancelled"/>
    <x v="4"/>
    <s v=""/>
    <s v="Emily Johnson"/>
    <s v=""/>
    <s v="cancelled"/>
    <n v="1"/>
    <n v="0"/>
    <n v="0"/>
  </r>
  <r>
    <s v="ORD0033"/>
    <x v="31"/>
    <x v="7"/>
    <m/>
    <s v="CUST016"/>
    <s v="PROD005"/>
    <x v="2"/>
    <n v="27"/>
    <n v="2"/>
    <n v="54"/>
    <x v="0"/>
    <x v="1"/>
    <s v="USPS"/>
    <s v="Completed"/>
    <x v="2"/>
    <n v="1"/>
    <s v="Elijah Lewis"/>
    <s v="Fast"/>
    <s v="not_cancelled"/>
    <n v="0"/>
    <n v="54"/>
    <n v="1"/>
  </r>
  <r>
    <s v="ORD0034"/>
    <x v="32"/>
    <x v="0"/>
    <m/>
    <s v="CUST025"/>
    <s v="PROD015"/>
    <x v="2"/>
    <n v="21"/>
    <n v="1"/>
    <n v="21"/>
    <x v="3"/>
    <x v="2"/>
    <s v="DHL"/>
    <s v="Completed"/>
    <x v="4"/>
    <s v=""/>
    <s v="Emma King"/>
    <s v=""/>
    <s v="not_cancelled"/>
    <n v="0"/>
    <n v="0"/>
    <n v="0"/>
  </r>
  <r>
    <s v="ORD0035"/>
    <x v="33"/>
    <x v="8"/>
    <m/>
    <s v="CUST032"/>
    <s v="PROD011"/>
    <x v="2"/>
    <n v="172"/>
    <n v="1"/>
    <n v="172"/>
    <x v="2"/>
    <x v="1"/>
    <s v="USPS"/>
    <s v="Completed"/>
    <x v="3"/>
    <n v="4"/>
    <s v="Luke Gray"/>
    <s v="Slow"/>
    <s v="not_cancelled"/>
    <n v="0"/>
    <n v="172"/>
    <n v="0"/>
  </r>
  <r>
    <s v="ORD0036"/>
    <x v="34"/>
    <x v="0"/>
    <m/>
    <s v="CUST014"/>
    <s v="PROD016"/>
    <x v="0"/>
    <n v="212"/>
    <n v="3"/>
    <n v="636"/>
    <x v="3"/>
    <x v="2"/>
    <s v="UPS"/>
    <s v="Completed"/>
    <x v="0"/>
    <s v=""/>
    <s v="Harper Young"/>
    <s v=""/>
    <s v="not_cancelled"/>
    <n v="0"/>
    <n v="0"/>
    <n v="0"/>
  </r>
  <r>
    <s v="ORD0037"/>
    <x v="35"/>
    <x v="9"/>
    <m/>
    <s v="CUST044"/>
    <s v="PROD002"/>
    <x v="1"/>
    <n v="41"/>
    <n v="4"/>
    <n v="164"/>
    <x v="1"/>
    <x v="1"/>
    <s v="Amazon Logistics"/>
    <s v="Completed"/>
    <x v="1"/>
    <n v="5"/>
    <s v="Grace Ward"/>
    <s v="Slow"/>
    <s v="not_cancelled"/>
    <n v="0"/>
    <n v="164"/>
    <n v="0"/>
  </r>
  <r>
    <s v="ORD0038"/>
    <x v="36"/>
    <x v="0"/>
    <d v="2023-08-24T00:00:00"/>
    <s v="CUST028"/>
    <s v="PROD007"/>
    <x v="0"/>
    <n v="32"/>
    <n v="2"/>
    <n v="64"/>
    <x v="4"/>
    <x v="0"/>
    <s v="FedEx"/>
    <s v="Cancelled"/>
    <x v="1"/>
    <s v=""/>
    <s v="Lily Bennett"/>
    <s v=""/>
    <s v="cancelled"/>
    <n v="1"/>
    <n v="0"/>
    <n v="0"/>
  </r>
  <r>
    <s v="ORD0039"/>
    <x v="37"/>
    <x v="0"/>
    <m/>
    <s v="CUST024"/>
    <s v="PROD022"/>
    <x v="1"/>
    <n v="66"/>
    <n v="2"/>
    <n v="132"/>
    <x v="0"/>
    <x v="2"/>
    <s v="DHL"/>
    <s v="Completed"/>
    <x v="2"/>
    <s v=""/>
    <s v="Scarlett Murphy"/>
    <s v=""/>
    <s v="not_cancelled"/>
    <n v="0"/>
    <n v="0"/>
    <n v="0"/>
  </r>
  <r>
    <s v="ORD0040"/>
    <x v="38"/>
    <x v="0"/>
    <m/>
    <s v="CUST006"/>
    <s v="PROD004"/>
    <x v="1"/>
    <n v="62"/>
    <n v="4"/>
    <n v="248"/>
    <x v="4"/>
    <x v="2"/>
    <s v="UPS"/>
    <s v="Completed"/>
    <x v="1"/>
    <s v=""/>
    <s v="Ava Robinson"/>
    <s v=""/>
    <s v="not_cancelled"/>
    <n v="0"/>
    <n v="0"/>
    <n v="0"/>
  </r>
  <r>
    <s v="ORD0041"/>
    <x v="39"/>
    <x v="10"/>
    <m/>
    <s v="CUST001"/>
    <s v="PROD011"/>
    <x v="4"/>
    <n v="173"/>
    <n v="4"/>
    <n v="692"/>
    <x v="0"/>
    <x v="1"/>
    <s v="UPS"/>
    <s v="Completed"/>
    <x v="3"/>
    <n v="7"/>
    <s v="James Miller"/>
    <s v="Slow"/>
    <s v="not_cancelled"/>
    <n v="0"/>
    <n v="692"/>
    <n v="0"/>
  </r>
  <r>
    <s v="ORD0042"/>
    <x v="40"/>
    <x v="11"/>
    <m/>
    <s v="CUST007"/>
    <s v="PROD004"/>
    <x v="4"/>
    <n v="63"/>
    <n v="3"/>
    <n v="189"/>
    <x v="0"/>
    <x v="1"/>
    <s v="UPS"/>
    <s v="Completed"/>
    <x v="1"/>
    <n v="2"/>
    <s v="Liam Walker"/>
    <s v="Fast"/>
    <s v="not_cancelled"/>
    <n v="0"/>
    <n v="189"/>
    <n v="1"/>
  </r>
  <r>
    <s v="ORD0043"/>
    <x v="41"/>
    <x v="0"/>
    <d v="2023-02-11T00:00:00"/>
    <s v="CUST040"/>
    <s v="PROD021"/>
    <x v="4"/>
    <n v="36"/>
    <n v="3"/>
    <n v="108"/>
    <x v="4"/>
    <x v="0"/>
    <s v="USPS"/>
    <s v="Cancelled"/>
    <x v="0"/>
    <s v=""/>
    <s v="Benjamin Clark"/>
    <s v=""/>
    <s v="cancelled"/>
    <n v="1"/>
    <n v="0"/>
    <n v="0"/>
  </r>
  <r>
    <s v="ORD0044"/>
    <x v="42"/>
    <x v="0"/>
    <d v="2023-12-23T00:00:00"/>
    <s v="CUST006"/>
    <s v="PROD004"/>
    <x v="3"/>
    <n v="62"/>
    <n v="1"/>
    <n v="62"/>
    <x v="0"/>
    <x v="0"/>
    <s v="Amazon Logistics"/>
    <s v="Cancelled"/>
    <x v="1"/>
    <s v=""/>
    <s v="Ava Robinson"/>
    <s v=""/>
    <s v="cancelled"/>
    <n v="1"/>
    <n v="0"/>
    <n v="0"/>
  </r>
  <r>
    <s v="ORD0045"/>
    <x v="43"/>
    <x v="0"/>
    <d v="2023-06-14T00:00:00"/>
    <s v="CUST042"/>
    <s v="PROD003"/>
    <x v="3"/>
    <n v="137"/>
    <n v="5"/>
    <n v="685"/>
    <x v="3"/>
    <x v="0"/>
    <s v="FedEx"/>
    <s v="Cancelled"/>
    <x v="0"/>
    <s v=""/>
    <s v="Noah Wilson"/>
    <s v=""/>
    <s v="cancelled"/>
    <n v="1"/>
    <n v="0"/>
    <n v="0"/>
  </r>
  <r>
    <s v="ORD0046"/>
    <x v="44"/>
    <x v="12"/>
    <m/>
    <s v="CUST039"/>
    <s v="PROD017"/>
    <x v="0"/>
    <n v="73"/>
    <n v="4"/>
    <n v="292"/>
    <x v="1"/>
    <x v="1"/>
    <s v="Amazon Logistics"/>
    <s v="Completed"/>
    <x v="3"/>
    <n v="4"/>
    <s v="Logan Ramirez"/>
    <s v="Slow"/>
    <s v="not_cancelled"/>
    <n v="0"/>
    <n v="292"/>
    <n v="0"/>
  </r>
  <r>
    <s v="ORD0047"/>
    <x v="45"/>
    <x v="13"/>
    <m/>
    <s v="CUST041"/>
    <s v="PROD020"/>
    <x v="0"/>
    <n v="104"/>
    <n v="1"/>
    <n v="104"/>
    <x v="2"/>
    <x v="1"/>
    <s v="Amazon Logistics"/>
    <s v="Completed"/>
    <x v="3"/>
    <n v="2"/>
    <s v="Jacob Price"/>
    <s v="Fast"/>
    <s v="not_cancelled"/>
    <n v="0"/>
    <n v="104"/>
    <n v="1"/>
  </r>
  <r>
    <s v="ORD0048"/>
    <x v="46"/>
    <x v="14"/>
    <m/>
    <s v="CUST044"/>
    <s v="PROD006"/>
    <x v="1"/>
    <n v="97"/>
    <n v="1"/>
    <n v="97"/>
    <x v="3"/>
    <x v="1"/>
    <s v="FedEx"/>
    <s v="Completed"/>
    <x v="2"/>
    <n v="5"/>
    <s v="Grace Ward"/>
    <s v="Slow"/>
    <s v="not_cancelled"/>
    <n v="0"/>
    <n v="97"/>
    <n v="0"/>
  </r>
  <r>
    <s v="ORD0049"/>
    <x v="47"/>
    <x v="0"/>
    <m/>
    <s v="CUST026"/>
    <s v="PROD017"/>
    <x v="2"/>
    <n v="73"/>
    <n v="5"/>
    <n v="365"/>
    <x v="0"/>
    <x v="2"/>
    <s v="Amazon Logistics"/>
    <s v="Completed"/>
    <x v="3"/>
    <s v=""/>
    <s v="Zoe Mitchell"/>
    <s v=""/>
    <s v="not_cancelled"/>
    <n v="0"/>
    <n v="0"/>
    <n v="0"/>
  </r>
  <r>
    <s v="ORD0050"/>
    <x v="48"/>
    <x v="15"/>
    <m/>
    <s v="CUST040"/>
    <s v="PROD005"/>
    <x v="1"/>
    <n v="27"/>
    <n v="3"/>
    <n v="81"/>
    <x v="3"/>
    <x v="1"/>
    <s v="UPS"/>
    <s v="Completed"/>
    <x v="2"/>
    <n v="7"/>
    <s v="Benjamin Clark"/>
    <s v="Slow"/>
    <s v="not_cancelled"/>
    <n v="0"/>
    <n v="81"/>
    <n v="0"/>
  </r>
  <r>
    <s v="ORD0051"/>
    <x v="20"/>
    <x v="0"/>
    <m/>
    <s v="CUST041"/>
    <s v="PROD021"/>
    <x v="0"/>
    <n v="37"/>
    <n v="1"/>
    <n v="37"/>
    <x v="0"/>
    <x v="2"/>
    <s v="UPS"/>
    <s v="Completed"/>
    <x v="0"/>
    <s v=""/>
    <s v="Jacob Price"/>
    <s v=""/>
    <s v="not_cancelled"/>
    <n v="0"/>
    <n v="0"/>
    <n v="0"/>
  </r>
  <r>
    <s v="ORD0052"/>
    <x v="49"/>
    <x v="16"/>
    <m/>
    <s v="CUST008"/>
    <s v="PROD015"/>
    <x v="0"/>
    <n v="22"/>
    <n v="1"/>
    <n v="22"/>
    <x v="4"/>
    <x v="1"/>
    <s v="FedEx"/>
    <s v="Completed"/>
    <x v="4"/>
    <n v="2"/>
    <s v="Harper Young"/>
    <s v="Fast"/>
    <s v="not_cancelled"/>
    <n v="0"/>
    <n v="22"/>
    <n v="1"/>
  </r>
  <r>
    <s v="ORD0053"/>
    <x v="9"/>
    <x v="17"/>
    <m/>
    <s v="CUST011"/>
    <s v="PROD016"/>
    <x v="3"/>
    <n v="218"/>
    <n v="5"/>
    <n v="1090"/>
    <x v="2"/>
    <x v="1"/>
    <s v="DHL"/>
    <s v="Completed"/>
    <x v="0"/>
    <n v="3"/>
    <s v="Mason Hall"/>
    <s v="Slow"/>
    <s v="not_cancelled"/>
    <n v="0"/>
    <n v="1090"/>
    <n v="0"/>
  </r>
  <r>
    <s v="ORD0054"/>
    <x v="50"/>
    <x v="0"/>
    <d v="2023-03-13T00:00:00"/>
    <s v="CUST018"/>
    <s v="PROD004"/>
    <x v="0"/>
    <n v="64"/>
    <n v="1"/>
    <n v="64"/>
    <x v="0"/>
    <x v="0"/>
    <s v="USPS"/>
    <s v="Cancelled"/>
    <x v="1"/>
    <s v=""/>
    <s v="Grace Scott"/>
    <s v=""/>
    <s v="cancelled"/>
    <n v="1"/>
    <n v="0"/>
    <n v="0"/>
  </r>
  <r>
    <s v="ORD0055"/>
    <x v="4"/>
    <x v="18"/>
    <m/>
    <s v="CUST037"/>
    <s v="PROD021"/>
    <x v="3"/>
    <n v="36"/>
    <n v="4"/>
    <n v="144"/>
    <x v="2"/>
    <x v="1"/>
    <s v="Amazon Logistics"/>
    <s v="Completed"/>
    <x v="0"/>
    <n v="4"/>
    <s v="Emily Johnson"/>
    <s v="Slow"/>
    <s v="not_cancelled"/>
    <n v="0"/>
    <n v="144"/>
    <n v="0"/>
  </r>
  <r>
    <s v="ORD0056"/>
    <x v="51"/>
    <x v="6"/>
    <m/>
    <s v="CUST017"/>
    <s v="PROD004"/>
    <x v="4"/>
    <n v="65"/>
    <n v="1"/>
    <n v="65"/>
    <x v="3"/>
    <x v="1"/>
    <s v="FedEx"/>
    <s v="Completed"/>
    <x v="1"/>
    <n v="3"/>
    <s v="Emma King"/>
    <s v="Slow"/>
    <s v="not_cancelled"/>
    <n v="0"/>
    <n v="65"/>
    <n v="0"/>
  </r>
  <r>
    <s v="ORD0057"/>
    <x v="52"/>
    <x v="19"/>
    <m/>
    <s v="CUST025"/>
    <s v="PROD005"/>
    <x v="3"/>
    <n v="26"/>
    <n v="1"/>
    <n v="26"/>
    <x v="0"/>
    <x v="1"/>
    <s v="DHL"/>
    <s v="Completed"/>
    <x v="2"/>
    <n v="2"/>
    <s v="Emma King"/>
    <s v="Fast"/>
    <s v="not_cancelled"/>
    <n v="0"/>
    <n v="26"/>
    <n v="1"/>
  </r>
  <r>
    <s v="ORD0058"/>
    <x v="53"/>
    <x v="0"/>
    <m/>
    <s v="CUST021"/>
    <s v="PROD009"/>
    <x v="0"/>
    <n v="11"/>
    <n v="5"/>
    <n v="55"/>
    <x v="1"/>
    <x v="2"/>
    <s v="FedEx"/>
    <s v="Completed"/>
    <x v="4"/>
    <s v=""/>
    <s v="Zoe Mitchell"/>
    <s v=""/>
    <s v="not_cancelled"/>
    <n v="0"/>
    <n v="0"/>
    <n v="0"/>
  </r>
  <r>
    <s v="ORD0059"/>
    <x v="54"/>
    <x v="0"/>
    <d v="2023-04-05T00:00:00"/>
    <s v="CUST003"/>
    <s v="PROD013"/>
    <x v="0"/>
    <n v="195"/>
    <n v="4"/>
    <n v="780"/>
    <x v="2"/>
    <x v="0"/>
    <s v="FedEx"/>
    <s v="Cancelled"/>
    <x v="0"/>
    <s v=""/>
    <s v="Ethan Davis"/>
    <s v=""/>
    <s v="cancelled"/>
    <n v="1"/>
    <n v="0"/>
    <n v="0"/>
  </r>
  <r>
    <s v="ORD0060"/>
    <x v="2"/>
    <x v="0"/>
    <d v="2023-10-12T00:00:00"/>
    <s v="CUST019"/>
    <s v="PROD019"/>
    <x v="4"/>
    <n v="44"/>
    <n v="5"/>
    <n v="220"/>
    <x v="0"/>
    <x v="0"/>
    <s v="USPS"/>
    <s v="Cancelled"/>
    <x v="2"/>
    <s v=""/>
    <s v="Ava Robinson"/>
    <s v=""/>
    <s v="cancelled"/>
    <n v="1"/>
    <n v="0"/>
    <n v="0"/>
  </r>
  <r>
    <s v="ORD0061"/>
    <x v="55"/>
    <x v="0"/>
    <m/>
    <s v="CUST035"/>
    <s v="PROD008"/>
    <x v="1"/>
    <n v="69"/>
    <n v="4"/>
    <n v="276"/>
    <x v="4"/>
    <x v="2"/>
    <s v="DHL"/>
    <s v="Completed"/>
    <x v="4"/>
    <s v=""/>
    <s v="Scarlett Adams"/>
    <s v=""/>
    <s v="not_cancelled"/>
    <n v="0"/>
    <n v="0"/>
    <n v="0"/>
  </r>
  <r>
    <s v="ORD0062"/>
    <x v="56"/>
    <x v="20"/>
    <m/>
    <s v="CUST022"/>
    <s v="PROD001"/>
    <x v="0"/>
    <n v="815"/>
    <n v="4"/>
    <n v="3260"/>
    <x v="1"/>
    <x v="1"/>
    <s v="USPS"/>
    <s v="Completed"/>
    <x v="3"/>
    <n v="7"/>
    <s v="Elijah Lewis"/>
    <s v="Slow"/>
    <s v="not_cancelled"/>
    <n v="0"/>
    <n v="3260"/>
    <n v="0"/>
  </r>
  <r>
    <s v="ORD0063"/>
    <x v="57"/>
    <x v="0"/>
    <m/>
    <s v="CUST004"/>
    <s v="PROD005"/>
    <x v="1"/>
    <n v="27"/>
    <n v="1"/>
    <n v="27"/>
    <x v="4"/>
    <x v="2"/>
    <s v="Amazon Logistics"/>
    <s v="Completed"/>
    <x v="2"/>
    <s v=""/>
    <s v="Noah Wilson"/>
    <s v=""/>
    <s v="not_cancelled"/>
    <n v="0"/>
    <n v="0"/>
    <n v="0"/>
  </r>
  <r>
    <s v="ORD0064"/>
    <x v="38"/>
    <x v="21"/>
    <m/>
    <s v="CUST048"/>
    <s v="PROD003"/>
    <x v="4"/>
    <n v="139"/>
    <n v="5"/>
    <n v="695"/>
    <x v="0"/>
    <x v="1"/>
    <s v="USPS"/>
    <s v="Completed"/>
    <x v="0"/>
    <n v="4"/>
    <s v="Noah Wilson"/>
    <s v="Slow"/>
    <s v="not_cancelled"/>
    <n v="0"/>
    <n v="695"/>
    <n v="0"/>
  </r>
  <r>
    <s v="ORD0065"/>
    <x v="51"/>
    <x v="0"/>
    <d v="2023-10-20T00:00:00"/>
    <s v="CUST009"/>
    <s v="PROD008"/>
    <x v="2"/>
    <n v="69"/>
    <n v="3"/>
    <n v="207"/>
    <x v="2"/>
    <x v="0"/>
    <s v="Amazon Logistics"/>
    <s v="Cancelled"/>
    <x v="4"/>
    <s v=""/>
    <s v="Jackson Allen"/>
    <s v=""/>
    <s v="cancelled"/>
    <n v="1"/>
    <n v="0"/>
    <n v="0"/>
  </r>
  <r>
    <s v="ORD0066"/>
    <x v="58"/>
    <x v="0"/>
    <d v="2023-05-21T00:00:00"/>
    <s v="CUST009"/>
    <s v="PROD019"/>
    <x v="4"/>
    <n v="42"/>
    <n v="1"/>
    <n v="42"/>
    <x v="0"/>
    <x v="0"/>
    <s v="DHL"/>
    <s v="Cancelled"/>
    <x v="2"/>
    <s v=""/>
    <s v="Jackson Allen"/>
    <s v=""/>
    <s v="cancelled"/>
    <n v="1"/>
    <n v="0"/>
    <n v="0"/>
  </r>
  <r>
    <s v="ORD0067"/>
    <x v="59"/>
    <x v="22"/>
    <m/>
    <s v="CUST050"/>
    <s v="PROD007"/>
    <x v="0"/>
    <n v="31"/>
    <n v="4"/>
    <n v="124"/>
    <x v="1"/>
    <x v="1"/>
    <s v="UPS"/>
    <s v="Completed"/>
    <x v="1"/>
    <n v="2"/>
    <s v="not_found"/>
    <s v="Fast"/>
    <s v="not_cancelled"/>
    <n v="0"/>
    <n v="124"/>
    <n v="1"/>
  </r>
  <r>
    <s v="ORD0068"/>
    <x v="42"/>
    <x v="0"/>
    <m/>
    <s v="CUST045"/>
    <s v="PROD020"/>
    <x v="4"/>
    <n v="104"/>
    <n v="3"/>
    <n v="312"/>
    <x v="1"/>
    <x v="2"/>
    <s v="UPS"/>
    <s v="Completed"/>
    <x v="3"/>
    <s v=""/>
    <s v="Emily Johnson"/>
    <s v=""/>
    <s v="not_cancelled"/>
    <n v="0"/>
    <n v="0"/>
    <n v="0"/>
  </r>
  <r>
    <s v="ORD0069"/>
    <x v="60"/>
    <x v="0"/>
    <d v="2023-07-07T00:00:00"/>
    <s v="CUST044"/>
    <s v="PROD010"/>
    <x v="1"/>
    <n v="58"/>
    <n v="2"/>
    <n v="116"/>
    <x v="0"/>
    <x v="0"/>
    <s v="USPS"/>
    <s v="Cancelled"/>
    <x v="2"/>
    <s v=""/>
    <s v="Grace Ward"/>
    <s v=""/>
    <s v="cancelled"/>
    <n v="1"/>
    <n v="0"/>
    <n v="0"/>
  </r>
  <r>
    <s v="ORD0070"/>
    <x v="26"/>
    <x v="0"/>
    <d v="2023-10-10T00:00:00"/>
    <s v="CUST009"/>
    <s v="PROD004"/>
    <x v="4"/>
    <n v="62"/>
    <n v="2"/>
    <n v="124"/>
    <x v="4"/>
    <x v="0"/>
    <s v="DHL"/>
    <s v="Cancelled"/>
    <x v="1"/>
    <s v=""/>
    <s v="Jackson Allen"/>
    <s v=""/>
    <s v="cancelled"/>
    <n v="1"/>
    <n v="0"/>
    <n v="0"/>
  </r>
  <r>
    <s v="ORD0071"/>
    <x v="42"/>
    <x v="23"/>
    <m/>
    <s v="CUST006"/>
    <s v="PROD019"/>
    <x v="1"/>
    <n v="43"/>
    <n v="1"/>
    <n v="43"/>
    <x v="1"/>
    <x v="1"/>
    <s v="Amazon Logistics"/>
    <s v="Completed"/>
    <x v="2"/>
    <n v="7"/>
    <s v="Ava Robinson"/>
    <s v="Slow"/>
    <s v="not_cancelled"/>
    <n v="0"/>
    <n v="43"/>
    <n v="0"/>
  </r>
  <r>
    <s v="ORD0072"/>
    <x v="61"/>
    <x v="0"/>
    <m/>
    <s v="CUST022"/>
    <s v="PROD004"/>
    <x v="1"/>
    <n v="62"/>
    <n v="4"/>
    <n v="248"/>
    <x v="4"/>
    <x v="2"/>
    <s v="Amazon Logistics"/>
    <s v="Completed"/>
    <x v="1"/>
    <s v=""/>
    <s v="Elijah Lewis"/>
    <s v=""/>
    <s v="not_cancelled"/>
    <n v="0"/>
    <n v="0"/>
    <n v="0"/>
  </r>
  <r>
    <s v="ORD0073"/>
    <x v="62"/>
    <x v="0"/>
    <d v="2023-07-25T00:00:00"/>
    <s v="CUST028"/>
    <s v="PROD006"/>
    <x v="0"/>
    <n v="95"/>
    <n v="2"/>
    <n v="190"/>
    <x v="2"/>
    <x v="0"/>
    <s v="UPS"/>
    <s v="Cancelled"/>
    <x v="2"/>
    <s v=""/>
    <s v="Lily Bennett"/>
    <s v=""/>
    <s v="cancelled"/>
    <n v="1"/>
    <n v="0"/>
    <n v="0"/>
  </r>
  <r>
    <s v="ORD0074"/>
    <x v="63"/>
    <x v="24"/>
    <m/>
    <s v="CUST016"/>
    <s v="PROD021"/>
    <x v="3"/>
    <n v="36"/>
    <n v="4"/>
    <n v="144"/>
    <x v="0"/>
    <x v="1"/>
    <s v="FedEx"/>
    <s v="Completed"/>
    <x v="0"/>
    <n v="6"/>
    <s v="Elijah Lewis"/>
    <s v="Slow"/>
    <s v="not_cancelled"/>
    <n v="0"/>
    <n v="144"/>
    <n v="0"/>
  </r>
  <r>
    <s v="ORD0075"/>
    <x v="64"/>
    <x v="0"/>
    <m/>
    <s v="CUST042"/>
    <s v="PROD017"/>
    <x v="1"/>
    <n v="73"/>
    <n v="5"/>
    <n v="365"/>
    <x v="0"/>
    <x v="2"/>
    <s v="DHL"/>
    <s v="Completed"/>
    <x v="3"/>
    <s v=""/>
    <s v="Noah Wilson"/>
    <s v=""/>
    <s v="not_cancelled"/>
    <n v="0"/>
    <n v="0"/>
    <n v="0"/>
  </r>
  <r>
    <s v="ORD0076"/>
    <x v="65"/>
    <x v="25"/>
    <m/>
    <s v="CUST023"/>
    <s v="PROD019"/>
    <x v="0"/>
    <n v="43"/>
    <n v="4"/>
    <n v="172"/>
    <x v="4"/>
    <x v="1"/>
    <s v="DHL"/>
    <s v="Completed"/>
    <x v="2"/>
    <n v="6"/>
    <s v="Charlotte Reed"/>
    <s v="Slow"/>
    <s v="not_cancelled"/>
    <n v="0"/>
    <n v="172"/>
    <n v="0"/>
  </r>
  <r>
    <s v="ORD0077"/>
    <x v="22"/>
    <x v="26"/>
    <m/>
    <s v="CUST004"/>
    <s v="PROD016"/>
    <x v="4"/>
    <n v="214"/>
    <n v="5"/>
    <n v="1070"/>
    <x v="4"/>
    <x v="1"/>
    <s v="UPS"/>
    <s v="Completed"/>
    <x v="0"/>
    <n v="2"/>
    <s v="Noah Wilson"/>
    <s v="Fast"/>
    <s v="not_cancelled"/>
    <n v="0"/>
    <n v="1070"/>
    <n v="1"/>
  </r>
  <r>
    <s v="ORD0078"/>
    <x v="66"/>
    <x v="0"/>
    <d v="2023-12-06T00:00:00"/>
    <s v="CUST048"/>
    <s v="PROD002"/>
    <x v="3"/>
    <n v="42"/>
    <n v="2"/>
    <n v="84"/>
    <x v="0"/>
    <x v="0"/>
    <s v="UPS"/>
    <s v="Cancelled"/>
    <x v="1"/>
    <s v=""/>
    <s v="Noah Wilson"/>
    <s v=""/>
    <s v="cancelled"/>
    <n v="1"/>
    <n v="0"/>
    <n v="0"/>
  </r>
  <r>
    <s v="ORD0079"/>
    <x v="7"/>
    <x v="0"/>
    <m/>
    <s v="CUST048"/>
    <s v="PROD012"/>
    <x v="0"/>
    <n v="46"/>
    <n v="1"/>
    <n v="46"/>
    <x v="3"/>
    <x v="2"/>
    <s v="UPS"/>
    <s v="Completed"/>
    <x v="0"/>
    <s v=""/>
    <s v="Noah Wilson"/>
    <s v=""/>
    <s v="not_cancelled"/>
    <n v="0"/>
    <n v="0"/>
    <n v="0"/>
  </r>
  <r>
    <s v="ORD0080"/>
    <x v="67"/>
    <x v="27"/>
    <m/>
    <s v="CUST032"/>
    <s v="PROD018"/>
    <x v="1"/>
    <n v="95"/>
    <n v="4"/>
    <n v="380"/>
    <x v="1"/>
    <x v="1"/>
    <s v="UPS"/>
    <s v="Completed"/>
    <x v="1"/>
    <n v="3"/>
    <s v="Luke Gray"/>
    <s v="Slow"/>
    <s v="not_cancelled"/>
    <n v="0"/>
    <n v="380"/>
    <n v="0"/>
  </r>
  <r>
    <s v="ORD0081"/>
    <x v="68"/>
    <x v="0"/>
    <m/>
    <s v="CUST001"/>
    <s v="PROD011"/>
    <x v="4"/>
    <n v="174"/>
    <n v="2"/>
    <n v="348"/>
    <x v="2"/>
    <x v="2"/>
    <s v="UPS"/>
    <s v="Completed"/>
    <x v="3"/>
    <s v=""/>
    <s v="James Miller"/>
    <s v=""/>
    <s v="not_cancelled"/>
    <n v="0"/>
    <n v="0"/>
    <n v="0"/>
  </r>
  <r>
    <s v="ORD0082"/>
    <x v="30"/>
    <x v="0"/>
    <d v="2023-06-18T00:00:00"/>
    <s v="CUST046"/>
    <s v="PROD005"/>
    <x v="0"/>
    <n v="27"/>
    <n v="5"/>
    <n v="135"/>
    <x v="1"/>
    <x v="0"/>
    <s v="Amazon Logistics"/>
    <s v="Cancelled"/>
    <x v="2"/>
    <s v=""/>
    <s v="Emily Johnson"/>
    <s v=""/>
    <s v="cancelled"/>
    <n v="1"/>
    <n v="0"/>
    <n v="0"/>
  </r>
  <r>
    <s v="ORD0083"/>
    <x v="69"/>
    <x v="28"/>
    <m/>
    <s v="CUST021"/>
    <s v="PROD005"/>
    <x v="2"/>
    <n v="27"/>
    <n v="4"/>
    <n v="108"/>
    <x v="2"/>
    <x v="1"/>
    <s v="USPS"/>
    <s v="Completed"/>
    <x v="2"/>
    <n v="2"/>
    <s v="Zoe Mitchell"/>
    <s v="Fast"/>
    <s v="not_cancelled"/>
    <n v="0"/>
    <n v="108"/>
    <n v="1"/>
  </r>
  <r>
    <s v="ORD0084"/>
    <x v="33"/>
    <x v="0"/>
    <m/>
    <s v="CUST015"/>
    <s v="PROD022"/>
    <x v="2"/>
    <n v="65"/>
    <n v="2"/>
    <n v="130"/>
    <x v="2"/>
    <x v="2"/>
    <s v="DHL"/>
    <s v="Completed"/>
    <x v="2"/>
    <s v=""/>
    <s v="Ava White"/>
    <s v=""/>
    <s v="not_cancelled"/>
    <n v="0"/>
    <n v="0"/>
    <n v="0"/>
  </r>
  <r>
    <s v="ORD0085"/>
    <x v="61"/>
    <x v="0"/>
    <m/>
    <s v="CUST045"/>
    <s v="PROD019"/>
    <x v="1"/>
    <n v="43"/>
    <n v="5"/>
    <n v="215"/>
    <x v="4"/>
    <x v="2"/>
    <s v="DHL"/>
    <s v="Completed"/>
    <x v="2"/>
    <s v=""/>
    <s v="Emily Johnson"/>
    <s v=""/>
    <s v="not_cancelled"/>
    <n v="0"/>
    <n v="0"/>
    <n v="0"/>
  </r>
  <r>
    <s v="ORD0086"/>
    <x v="70"/>
    <x v="0"/>
    <m/>
    <s v="CUST007"/>
    <s v="PROD016"/>
    <x v="4"/>
    <n v="210"/>
    <n v="1"/>
    <n v="210"/>
    <x v="2"/>
    <x v="2"/>
    <s v="UPS"/>
    <s v="Completed"/>
    <x v="0"/>
    <s v=""/>
    <s v="Liam Walker"/>
    <s v=""/>
    <s v="not_cancelled"/>
    <n v="0"/>
    <n v="0"/>
    <n v="0"/>
  </r>
  <r>
    <s v="ORD0087"/>
    <x v="56"/>
    <x v="0"/>
    <m/>
    <s v="CUST043"/>
    <s v="PROD021"/>
    <x v="2"/>
    <n v="37"/>
    <n v="3"/>
    <n v="111"/>
    <x v="1"/>
    <x v="2"/>
    <s v="UPS"/>
    <s v="Completed"/>
    <x v="0"/>
    <s v=""/>
    <s v="Lily Reed"/>
    <s v=""/>
    <s v="not_cancelled"/>
    <n v="0"/>
    <n v="0"/>
    <n v="0"/>
  </r>
  <r>
    <s v="ORD0088"/>
    <x v="53"/>
    <x v="0"/>
    <m/>
    <s v="CUST007"/>
    <s v="PROD001"/>
    <x v="2"/>
    <n v="788"/>
    <n v="4"/>
    <n v="3152"/>
    <x v="4"/>
    <x v="2"/>
    <s v="Amazon Logistics"/>
    <s v="Completed"/>
    <x v="3"/>
    <s v=""/>
    <s v="Liam Walker"/>
    <s v=""/>
    <s v="not_cancelled"/>
    <n v="0"/>
    <n v="0"/>
    <n v="0"/>
  </r>
  <r>
    <s v="ORD0089"/>
    <x v="71"/>
    <x v="0"/>
    <m/>
    <s v="CUST007"/>
    <s v="PROD016"/>
    <x v="4"/>
    <n v="217"/>
    <n v="5"/>
    <n v="1085"/>
    <x v="4"/>
    <x v="2"/>
    <s v="FedEx"/>
    <s v="Completed"/>
    <x v="0"/>
    <s v=""/>
    <s v="Liam Walker"/>
    <s v=""/>
    <s v="not_cancelled"/>
    <n v="0"/>
    <n v="0"/>
    <n v="0"/>
  </r>
  <r>
    <s v="ORD0090"/>
    <x v="63"/>
    <x v="0"/>
    <m/>
    <s v="CUST007"/>
    <s v="PROD003"/>
    <x v="4"/>
    <n v="138"/>
    <n v="4"/>
    <n v="552"/>
    <x v="1"/>
    <x v="2"/>
    <s v="FedEx"/>
    <s v="Completed"/>
    <x v="0"/>
    <s v=""/>
    <s v="Liam Walker"/>
    <s v=""/>
    <s v="not_cancelled"/>
    <n v="0"/>
    <n v="0"/>
    <n v="0"/>
  </r>
  <r>
    <s v="ORD0091"/>
    <x v="72"/>
    <x v="29"/>
    <m/>
    <s v="CUST031"/>
    <s v="PROD001"/>
    <x v="3"/>
    <n v="803"/>
    <n v="2"/>
    <n v="1606"/>
    <x v="0"/>
    <x v="1"/>
    <s v="FedEx"/>
    <s v="Completed"/>
    <x v="3"/>
    <n v="6"/>
    <s v="Mason Collins"/>
    <s v="Slow"/>
    <s v="not_cancelled"/>
    <n v="0"/>
    <n v="1606"/>
    <n v="0"/>
  </r>
  <r>
    <s v="ORD0092"/>
    <x v="73"/>
    <x v="0"/>
    <d v="2023-02-25T00:00:00"/>
    <s v="CUST013"/>
    <s v="PROD014"/>
    <x v="0"/>
    <n v="248"/>
    <n v="5"/>
    <n v="1240"/>
    <x v="2"/>
    <x v="0"/>
    <s v="UPS"/>
    <s v="Cancelled"/>
    <x v="3"/>
    <s v=""/>
    <s v="Olivia Martinez"/>
    <s v=""/>
    <s v="cancelled"/>
    <n v="1"/>
    <n v="0"/>
    <n v="0"/>
  </r>
  <r>
    <s v="ORD0093"/>
    <x v="74"/>
    <x v="30"/>
    <m/>
    <s v="CUST036"/>
    <s v="PROD016"/>
    <x v="1"/>
    <n v="210"/>
    <n v="3"/>
    <n v="630"/>
    <x v="0"/>
    <x v="1"/>
    <s v="DHL"/>
    <s v="Completed"/>
    <x v="0"/>
    <n v="2"/>
    <s v="Ethan Davis"/>
    <s v="Fast"/>
    <s v="not_cancelled"/>
    <n v="0"/>
    <n v="630"/>
    <n v="1"/>
  </r>
  <r>
    <s v="ORD0094"/>
    <x v="75"/>
    <x v="0"/>
    <d v="2023-12-12T00:00:00"/>
    <s v="CUST013"/>
    <s v="PROD004"/>
    <x v="0"/>
    <n v="62"/>
    <n v="2"/>
    <n v="124"/>
    <x v="1"/>
    <x v="0"/>
    <s v="FedEx"/>
    <s v="Cancelled"/>
    <x v="1"/>
    <s v=""/>
    <s v="Olivia Martinez"/>
    <s v=""/>
    <s v="cancelled"/>
    <n v="1"/>
    <n v="0"/>
    <n v="0"/>
  </r>
  <r>
    <s v="ORD0095"/>
    <x v="76"/>
    <x v="0"/>
    <d v="2023-06-12T00:00:00"/>
    <s v="CUST043"/>
    <s v="PROD009"/>
    <x v="2"/>
    <n v="11"/>
    <n v="5"/>
    <n v="55"/>
    <x v="4"/>
    <x v="0"/>
    <s v="Amazon Logistics"/>
    <s v="Cancelled"/>
    <x v="4"/>
    <s v=""/>
    <s v="Lily Reed"/>
    <s v=""/>
    <s v="cancelled"/>
    <n v="1"/>
    <n v="0"/>
    <n v="0"/>
  </r>
  <r>
    <s v="ORD0096"/>
    <x v="77"/>
    <x v="31"/>
    <m/>
    <s v="CUST017"/>
    <s v="PROD015"/>
    <x v="0"/>
    <n v="21"/>
    <n v="2"/>
    <n v="42"/>
    <x v="3"/>
    <x v="1"/>
    <s v="UPS"/>
    <s v="Completed"/>
    <x v="4"/>
    <n v="3"/>
    <s v="Emma King"/>
    <s v="Slow"/>
    <s v="not_cancelled"/>
    <n v="0"/>
    <n v="42"/>
    <n v="0"/>
  </r>
  <r>
    <s v="ORD0097"/>
    <x v="78"/>
    <x v="8"/>
    <m/>
    <s v="CUST023"/>
    <s v="PROD018"/>
    <x v="4"/>
    <n v="95"/>
    <n v="5"/>
    <n v="475"/>
    <x v="3"/>
    <x v="1"/>
    <s v="Amazon Logistics"/>
    <s v="Completed"/>
    <x v="1"/>
    <n v="3"/>
    <s v="Charlotte Reed"/>
    <s v="Slow"/>
    <s v="not_cancelled"/>
    <n v="0"/>
    <n v="475"/>
    <n v="0"/>
  </r>
  <r>
    <s v="ORD0098"/>
    <x v="79"/>
    <x v="10"/>
    <m/>
    <s v="CUST044"/>
    <s v="PROD016"/>
    <x v="2"/>
    <n v="215"/>
    <n v="2"/>
    <n v="430"/>
    <x v="2"/>
    <x v="1"/>
    <s v="Amazon Logistics"/>
    <s v="Completed"/>
    <x v="0"/>
    <n v="5"/>
    <s v="Grace Ward"/>
    <s v="Slow"/>
    <s v="not_cancelled"/>
    <n v="0"/>
    <n v="430"/>
    <n v="0"/>
  </r>
  <r>
    <s v="ORD0099"/>
    <x v="63"/>
    <x v="0"/>
    <d v="2023-01-24T00:00:00"/>
    <s v="CUST034"/>
    <s v="PROD019"/>
    <x v="4"/>
    <n v="43"/>
    <n v="5"/>
    <n v="215"/>
    <x v="1"/>
    <x v="0"/>
    <s v="UPS"/>
    <s v="Cancelled"/>
    <x v="2"/>
    <s v=""/>
    <s v="Lily Simmons"/>
    <s v=""/>
    <s v="cancelled"/>
    <n v="1"/>
    <n v="0"/>
    <n v="0"/>
  </r>
  <r>
    <s v="ORD0100"/>
    <x v="80"/>
    <x v="0"/>
    <m/>
    <s v="CUST009"/>
    <s v="PROD002"/>
    <x v="4"/>
    <n v="42"/>
    <n v="4"/>
    <n v="168"/>
    <x v="4"/>
    <x v="2"/>
    <s v="DHL"/>
    <s v="Completed"/>
    <x v="1"/>
    <s v=""/>
    <s v="Jackson Allen"/>
    <s v=""/>
    <s v="not_cancelled"/>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947778-BE53-4557-AEB2-A0AC66A7F9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livery_status">
  <location ref="K3:L7" firstHeaderRow="1" firstDataRow="1" firstDataCol="1"/>
  <pivotFields count="30">
    <pivotField dataField="1"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showAll="0">
      <items count="6">
        <item x="3"/>
        <item x="0"/>
        <item x="1"/>
        <item x="4"/>
        <item x="2"/>
        <item t="default"/>
      </items>
    </pivotField>
    <pivotField axis="axisRow" showAll="0">
      <items count="4">
        <item x="0"/>
        <item x="1"/>
        <item x="2"/>
        <item t="default"/>
      </items>
    </pivotField>
    <pivotField showAll="0"/>
    <pivotField showAll="0"/>
    <pivotField showAll="0">
      <items count="6">
        <item x="4"/>
        <item x="3"/>
        <item x="2"/>
        <item x="0"/>
        <item x="1"/>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Items count="1">
    <i/>
  </colItems>
  <dataFields count="1">
    <dataField name="Orders_count" fld="0" subtotal="count" baseField="11" baseItem="0"/>
  </dataFields>
  <formats count="6">
    <format dxfId="24">
      <pivotArea type="all" dataOnly="0" outline="0" fieldPosition="0"/>
    </format>
    <format dxfId="23">
      <pivotArea outline="0" collapsedLevelsAreSubtotals="1" fieldPosition="0"/>
    </format>
    <format dxfId="22">
      <pivotArea field="11" type="button" dataOnly="0" labelOnly="1" outline="0" axis="axisRow" fieldPosition="0"/>
    </format>
    <format dxfId="21">
      <pivotArea dataOnly="0" labelOnly="1" fieldPosition="0">
        <references count="1">
          <reference field="11" count="0"/>
        </references>
      </pivotArea>
    </format>
    <format dxfId="20">
      <pivotArea dataOnly="0" labelOnly="1" grandRow="1" outline="0" fieldPosition="0"/>
    </format>
    <format dxfId="19">
      <pivotArea dataOnly="0" labelOnly="1" outline="0" axis="axisValues"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1" count="1" selected="0">
            <x v="0"/>
          </reference>
        </references>
      </pivotArea>
    </chartFormat>
    <chartFormat chart="4" format="7">
      <pivotArea type="data" outline="0" fieldPosition="0">
        <references count="2">
          <reference field="4294967294" count="1" selected="0">
            <x v="0"/>
          </reference>
          <reference field="11" count="1" selected="0">
            <x v="1"/>
          </reference>
        </references>
      </pivotArea>
    </chartFormat>
    <chartFormat chart="4"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7FCC54-93AC-4330-B557-C603E7BC44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4:B40" firstHeaderRow="1" firstDataRow="1" firstDataCol="1"/>
  <pivotFields count="3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axis="axisRow"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showAll="0">
      <items count="6">
        <item x="4"/>
        <item x="3"/>
        <item x="2"/>
        <item x="0"/>
        <item x="1"/>
        <item t="default"/>
      </items>
    </pivotField>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Cancellation_rate" fld="22" baseField="6" baseItem="0" numFmtId="10"/>
  </dataFields>
  <formats count="7">
    <format dxfId="31">
      <pivotArea outline="0" collapsedLevelsAreSubtotals="1" fieldPosition="0"/>
    </format>
    <format dxfId="30">
      <pivotArea type="all" dataOnly="0" outline="0" fieldPosition="0"/>
    </format>
    <format dxfId="29">
      <pivotArea outline="0" collapsedLevelsAreSubtotals="1" fieldPosition="0"/>
    </format>
    <format dxfId="28">
      <pivotArea field="6" type="button" dataOnly="0" labelOnly="1" outline="0" axis="axisRow" fieldPosition="0"/>
    </format>
    <format dxfId="27">
      <pivotArea dataOnly="0" labelOnly="1" fieldPosition="0">
        <references count="1">
          <reference field="6" count="0"/>
        </references>
      </pivotArea>
    </format>
    <format dxfId="26">
      <pivotArea dataOnly="0" labelOnly="1" grandRow="1" outline="0" fieldPosition="0"/>
    </format>
    <format dxfId="25">
      <pivotArea dataOnly="0" labelOnly="1" outline="0" axis="axisValues" fieldPosition="0"/>
    </format>
  </format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6" count="1" selected="0">
            <x v="0"/>
          </reference>
        </references>
      </pivotArea>
    </chartFormat>
    <chartFormat chart="6" format="9">
      <pivotArea type="data" outline="0" fieldPosition="0">
        <references count="2">
          <reference field="4294967294" count="1" selected="0">
            <x v="0"/>
          </reference>
          <reference field="6" count="1" selected="0">
            <x v="1"/>
          </reference>
        </references>
      </pivotArea>
    </chartFormat>
    <chartFormat chart="6" format="10">
      <pivotArea type="data" outline="0" fieldPosition="0">
        <references count="2">
          <reference field="4294967294" count="1" selected="0">
            <x v="0"/>
          </reference>
          <reference field="6" count="1" selected="0">
            <x v="2"/>
          </reference>
        </references>
      </pivotArea>
    </chartFormat>
    <chartFormat chart="6" format="11">
      <pivotArea type="data" outline="0" fieldPosition="0">
        <references count="2">
          <reference field="4294967294" count="1" selected="0">
            <x v="0"/>
          </reference>
          <reference field="6" count="1" selected="0">
            <x v="3"/>
          </reference>
        </references>
      </pivotArea>
    </chartFormat>
    <chartFormat chart="6"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263B97-4F3A-4BCF-A13D-B5E63C225A5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K49:L62" firstHeaderRow="1" firstDataRow="1" firstDataCol="1"/>
  <pivotFields count="3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items count="6">
        <item x="4"/>
        <item x="3"/>
        <item x="2"/>
        <item x="0"/>
        <item x="1"/>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1">
    <field x="29"/>
  </rowFields>
  <rowItems count="13">
    <i>
      <x v="1"/>
    </i>
    <i>
      <x v="2"/>
    </i>
    <i>
      <x v="3"/>
    </i>
    <i>
      <x v="4"/>
    </i>
    <i>
      <x v="5"/>
    </i>
    <i>
      <x v="6"/>
    </i>
    <i>
      <x v="7"/>
    </i>
    <i>
      <x v="8"/>
    </i>
    <i>
      <x v="9"/>
    </i>
    <i>
      <x v="10"/>
    </i>
    <i>
      <x v="11"/>
    </i>
    <i>
      <x v="12"/>
    </i>
    <i t="grand">
      <x/>
    </i>
  </rowItems>
  <colItems count="1">
    <i/>
  </colItems>
  <dataFields count="1">
    <dataField name="Sum of Total Amount" fld="9" baseField="0" baseItem="0" numFmtId="164"/>
  </dataFields>
  <formats count="2">
    <format dxfId="33">
      <pivotArea collapsedLevelsAreSubtotals="1" fieldPosition="0">
        <references count="1">
          <reference field="29" count="12">
            <x v="1"/>
            <x v="2"/>
            <x v="3"/>
            <x v="4"/>
            <x v="5"/>
            <x v="6"/>
            <x v="7"/>
            <x v="8"/>
            <x v="9"/>
            <x v="10"/>
            <x v="11"/>
            <x v="12"/>
          </reference>
        </references>
      </pivotArea>
    </format>
    <format dxfId="32">
      <pivotArea outline="0" collapsedLevelsAreSubtotals="1" fieldPosition="0"/>
    </format>
  </formats>
  <chartFormats count="17">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29" count="1" selected="0">
            <x v="12"/>
          </reference>
        </references>
      </pivotArea>
    </chartFormat>
    <chartFormat chart="16" format="4">
      <pivotArea type="data" outline="0" fieldPosition="0">
        <references count="2">
          <reference field="4294967294" count="1" selected="0">
            <x v="0"/>
          </reference>
          <reference field="29" count="1" selected="0">
            <x v="11"/>
          </reference>
        </references>
      </pivotArea>
    </chartFormat>
    <chartFormat chart="16" format="5">
      <pivotArea type="data" outline="0" fieldPosition="0">
        <references count="2">
          <reference field="4294967294" count="1" selected="0">
            <x v="0"/>
          </reference>
          <reference field="29" count="1" selected="0">
            <x v="10"/>
          </reference>
        </references>
      </pivotArea>
    </chartFormat>
    <chartFormat chart="16" format="6">
      <pivotArea type="data" outline="0" fieldPosition="0">
        <references count="2">
          <reference field="4294967294" count="1" selected="0">
            <x v="0"/>
          </reference>
          <reference field="29" count="1" selected="0">
            <x v="9"/>
          </reference>
        </references>
      </pivotArea>
    </chartFormat>
    <chartFormat chart="16" format="7">
      <pivotArea type="data" outline="0" fieldPosition="0">
        <references count="2">
          <reference field="4294967294" count="1" selected="0">
            <x v="0"/>
          </reference>
          <reference field="29" count="1" selected="0">
            <x v="8"/>
          </reference>
        </references>
      </pivotArea>
    </chartFormat>
    <chartFormat chart="16" format="8">
      <pivotArea type="data" outline="0" fieldPosition="0">
        <references count="2">
          <reference field="4294967294" count="1" selected="0">
            <x v="0"/>
          </reference>
          <reference field="29" count="1" selected="0">
            <x v="7"/>
          </reference>
        </references>
      </pivotArea>
    </chartFormat>
    <chartFormat chart="16" format="9">
      <pivotArea type="data" outline="0" fieldPosition="0">
        <references count="2">
          <reference field="4294967294" count="1" selected="0">
            <x v="0"/>
          </reference>
          <reference field="29" count="1" selected="0">
            <x v="6"/>
          </reference>
        </references>
      </pivotArea>
    </chartFormat>
    <chartFormat chart="16" format="10">
      <pivotArea type="data" outline="0" fieldPosition="0">
        <references count="2">
          <reference field="4294967294" count="1" selected="0">
            <x v="0"/>
          </reference>
          <reference field="29" count="1" selected="0">
            <x v="5"/>
          </reference>
        </references>
      </pivotArea>
    </chartFormat>
    <chartFormat chart="16" format="11">
      <pivotArea type="data" outline="0" fieldPosition="0">
        <references count="2">
          <reference field="4294967294" count="1" selected="0">
            <x v="0"/>
          </reference>
          <reference field="29" count="1" selected="0">
            <x v="4"/>
          </reference>
        </references>
      </pivotArea>
    </chartFormat>
    <chartFormat chart="16" format="12">
      <pivotArea type="data" outline="0" fieldPosition="0">
        <references count="2">
          <reference field="4294967294" count="1" selected="0">
            <x v="0"/>
          </reference>
          <reference field="29" count="1" selected="0">
            <x v="3"/>
          </reference>
        </references>
      </pivotArea>
    </chartFormat>
    <chartFormat chart="16" format="13">
      <pivotArea type="data" outline="0" fieldPosition="0">
        <references count="2">
          <reference field="4294967294" count="1" selected="0">
            <x v="0"/>
          </reference>
          <reference field="29" count="1" selected="0">
            <x v="2"/>
          </reference>
        </references>
      </pivotArea>
    </chartFormat>
    <chartFormat chart="16" format="14">
      <pivotArea type="data" outline="0" fieldPosition="0">
        <references count="2">
          <reference field="4294967294" count="1" selected="0">
            <x v="0"/>
          </reference>
          <reference field="2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5F0967-504E-4E80-9061-C6C585F9CE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G10" firstHeaderRow="1" firstDataRow="2" firstDataCol="1"/>
  <pivotFields count="3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axis="axisCol" showAll="0">
      <items count="6">
        <item x="4"/>
        <item x="3"/>
        <item x="2"/>
        <item x="0"/>
        <item x="1"/>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Fields count="1">
    <field x="14"/>
  </colFields>
  <colItems count="6">
    <i>
      <x/>
    </i>
    <i>
      <x v="1"/>
    </i>
    <i>
      <x v="2"/>
    </i>
    <i>
      <x v="3"/>
    </i>
    <i>
      <x v="4"/>
    </i>
    <i t="grand">
      <x/>
    </i>
  </colItems>
  <dataFields count="1">
    <dataField name="Sum of Total Amount" fld="9" baseField="0" baseItem="0" numFmtId="164"/>
  </dataFields>
  <formats count="11">
    <format dxfId="44">
      <pivotArea type="all" dataOnly="0" outline="0" fieldPosition="0"/>
    </format>
    <format dxfId="43">
      <pivotArea outline="0" collapsedLevelsAreSubtotals="1" fieldPosition="0"/>
    </format>
    <format dxfId="42">
      <pivotArea type="origin" dataOnly="0" labelOnly="1" outline="0" fieldPosition="0"/>
    </format>
    <format dxfId="41">
      <pivotArea field="14" type="button" dataOnly="0" labelOnly="1" outline="0" axis="axisCol" fieldPosition="0"/>
    </format>
    <format dxfId="40">
      <pivotArea type="topRight" dataOnly="0" labelOnly="1" outline="0" fieldPosition="0"/>
    </format>
    <format dxfId="39">
      <pivotArea field="6" type="button" dataOnly="0" labelOnly="1" outline="0" axis="axisRow" fieldPosition="0"/>
    </format>
    <format dxfId="38">
      <pivotArea dataOnly="0" labelOnly="1" fieldPosition="0">
        <references count="1">
          <reference field="6" count="0"/>
        </references>
      </pivotArea>
    </format>
    <format dxfId="37">
      <pivotArea dataOnly="0" labelOnly="1" grandRow="1" outline="0" fieldPosition="0"/>
    </format>
    <format dxfId="36">
      <pivotArea dataOnly="0" labelOnly="1" fieldPosition="0">
        <references count="1">
          <reference field="14" count="0"/>
        </references>
      </pivotArea>
    </format>
    <format dxfId="35">
      <pivotArea dataOnly="0" labelOnly="1" grandCol="1" outline="0" fieldPosition="0"/>
    </format>
    <format dxfId="34">
      <pivotArea outline="0" collapsedLevelsAreSubtotals="1" fieldPosition="0"/>
    </format>
  </formats>
  <chartFormats count="5">
    <chartFormat chart="4" format="10" series="1">
      <pivotArea type="data" outline="0" fieldPosition="0">
        <references count="2">
          <reference field="4294967294" count="1" selected="0">
            <x v="0"/>
          </reference>
          <reference field="14" count="1" selected="0">
            <x v="0"/>
          </reference>
        </references>
      </pivotArea>
    </chartFormat>
    <chartFormat chart="4" format="11" series="1">
      <pivotArea type="data" outline="0" fieldPosition="0">
        <references count="2">
          <reference field="4294967294" count="1" selected="0">
            <x v="0"/>
          </reference>
          <reference field="14" count="1" selected="0">
            <x v="1"/>
          </reference>
        </references>
      </pivotArea>
    </chartFormat>
    <chartFormat chart="4" format="12" series="1">
      <pivotArea type="data" outline="0" fieldPosition="0">
        <references count="2">
          <reference field="4294967294" count="1" selected="0">
            <x v="0"/>
          </reference>
          <reference field="14" count="1" selected="0">
            <x v="2"/>
          </reference>
        </references>
      </pivotArea>
    </chartFormat>
    <chartFormat chart="4" format="13" series="1">
      <pivotArea type="data" outline="0" fieldPosition="0">
        <references count="2">
          <reference field="4294967294" count="1" selected="0">
            <x v="0"/>
          </reference>
          <reference field="14" count="1" selected="0">
            <x v="3"/>
          </reference>
        </references>
      </pivotArea>
    </chartFormat>
    <chartFormat chart="4" format="14"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19865C-AF95-4EDC-B10B-697D71C10F2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49:R55" firstHeaderRow="1" firstDataRow="1" firstDataCol="1"/>
  <pivotFields count="3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dataField="1" showAll="0"/>
    <pivotField axis="axisRow" showAll="0">
      <items count="6">
        <item x="3"/>
        <item x="0"/>
        <item x="1"/>
        <item x="4"/>
        <item x="2"/>
        <item t="default"/>
      </items>
    </pivotField>
    <pivotField showAll="0">
      <items count="4">
        <item x="0"/>
        <item x="1"/>
        <item x="2"/>
        <item t="default"/>
      </items>
    </pivotField>
    <pivotField showAll="0"/>
    <pivotField showAll="0"/>
    <pivotField showAll="0">
      <items count="6">
        <item x="4"/>
        <item x="3"/>
        <item x="2"/>
        <item x="0"/>
        <item x="1"/>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pivotField showAll="0" defaultSubtotal="0">
      <items count="4">
        <item x="0"/>
        <item x="1"/>
        <item x="2"/>
        <item x="3"/>
      </items>
    </pivotField>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6">
    <i>
      <x/>
    </i>
    <i>
      <x v="1"/>
    </i>
    <i>
      <x v="2"/>
    </i>
    <i>
      <x v="3"/>
    </i>
    <i>
      <x v="4"/>
    </i>
    <i t="grand">
      <x/>
    </i>
  </rowItems>
  <colItems count="1">
    <i/>
  </colItems>
  <dataFields count="1">
    <dataField name="Sum of Total Amount" fld="9" baseField="0" baseItem="0" numFmtId="164"/>
  </dataFields>
  <formats count="2">
    <format dxfId="46">
      <pivotArea collapsedLevelsAreSubtotals="1" fieldPosition="0">
        <references count="1">
          <reference field="10" count="0"/>
        </references>
      </pivotArea>
    </format>
    <format dxfId="45">
      <pivotArea outline="0" collapsedLevelsAreSubtotals="1" fieldPosition="0"/>
    </format>
  </format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0" count="1" selected="0">
            <x v="0"/>
          </reference>
        </references>
      </pivotArea>
    </chartFormat>
    <chartFormat chart="4" format="4">
      <pivotArea type="data" outline="0" fieldPosition="0">
        <references count="2">
          <reference field="4294967294" count="1" selected="0">
            <x v="0"/>
          </reference>
          <reference field="10" count="1" selected="0">
            <x v="1"/>
          </reference>
        </references>
      </pivotArea>
    </chartFormat>
    <chartFormat chart="4" format="5">
      <pivotArea type="data" outline="0" fieldPosition="0">
        <references count="2">
          <reference field="4294967294" count="1" selected="0">
            <x v="0"/>
          </reference>
          <reference field="10" count="1" selected="0">
            <x v="2"/>
          </reference>
        </references>
      </pivotArea>
    </chartFormat>
    <chartFormat chart="4" format="6">
      <pivotArea type="data" outline="0" fieldPosition="0">
        <references count="2">
          <reference field="4294967294" count="1" selected="0">
            <x v="0"/>
          </reference>
          <reference field="10" count="1" selected="0">
            <x v="3"/>
          </reference>
        </references>
      </pivotArea>
    </chartFormat>
    <chartFormat chart="4" format="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74E36A-8FFD-43A5-861B-251D1E79634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3:L37" firstHeaderRow="1" firstDataRow="1" firstDataCol="1"/>
  <pivotFields count="3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showAll="0">
      <items count="6">
        <item x="3"/>
        <item x="0"/>
        <item x="1"/>
        <item x="4"/>
        <item x="2"/>
        <item t="default"/>
      </items>
    </pivotField>
    <pivotField axis="axisRow" showAll="0">
      <items count="4">
        <item x="0"/>
        <item x="1"/>
        <item x="2"/>
        <item t="default"/>
      </items>
    </pivotField>
    <pivotField showAll="0"/>
    <pivotField showAll="0"/>
    <pivotField showAll="0">
      <items count="6">
        <item x="4"/>
        <item x="3"/>
        <item x="2"/>
        <item x="0"/>
        <item x="1"/>
        <item t="default"/>
      </items>
    </pivotField>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Items count="1">
    <i/>
  </colItems>
  <dataFields count="1">
    <dataField name="Sum of Effective_sales" fld="23" baseField="0" baseItem="0"/>
  </dataFields>
  <formats count="6">
    <format dxfId="52">
      <pivotArea type="all" dataOnly="0" outline="0" fieldPosition="0"/>
    </format>
    <format dxfId="51">
      <pivotArea outline="0" collapsedLevelsAreSubtotals="1" fieldPosition="0"/>
    </format>
    <format dxfId="50">
      <pivotArea field="11" type="button" dataOnly="0" labelOnly="1" outline="0" axis="axisRow" fieldPosition="0"/>
    </format>
    <format dxfId="49">
      <pivotArea dataOnly="0" labelOnly="1" fieldPosition="0">
        <references count="1">
          <reference field="11" count="0"/>
        </references>
      </pivotArea>
    </format>
    <format dxfId="48">
      <pivotArea dataOnly="0" labelOnly="1" grandRow="1" outline="0" fieldPosition="0"/>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888D50-7CEA-4EC7-8541-0445613E7F3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3:Z9" firstHeaderRow="1" firstDataRow="1" firstDataCol="1"/>
  <pivotFields count="3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axis="axisRow" showAll="0" sortType="descending">
      <items count="6">
        <item x="1"/>
        <item x="0"/>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6">
    <i>
      <x v="3"/>
    </i>
    <i>
      <x v="1"/>
    </i>
    <i>
      <x v="2"/>
    </i>
    <i>
      <x/>
    </i>
    <i>
      <x v="4"/>
    </i>
    <i t="grand">
      <x/>
    </i>
  </rowItems>
  <colItems count="1">
    <i/>
  </colItems>
  <dataFields count="1">
    <dataField name="Sum of Total Amount" fld="9" baseField="0" baseItem="0"/>
  </dataFields>
  <formats count="6">
    <format dxfId="58">
      <pivotArea type="all" dataOnly="0" outline="0" fieldPosition="0"/>
    </format>
    <format dxfId="57">
      <pivotArea outline="0" collapsedLevelsAreSubtotals="1" fieldPosition="0"/>
    </format>
    <format dxfId="56">
      <pivotArea field="14" type="button" dataOnly="0" labelOnly="1" outline="0" axis="axisRow" fieldPosition="0"/>
    </format>
    <format dxfId="55">
      <pivotArea dataOnly="0" labelOnly="1" fieldPosition="0">
        <references count="1">
          <reference field="14" count="0"/>
        </references>
      </pivotArea>
    </format>
    <format dxfId="54">
      <pivotArea dataOnly="0" labelOnly="1" grandRow="1" outline="0" fieldPosition="0"/>
    </format>
    <format dxfId="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383C37-7FC7-471B-8460-D6C5D3B503A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V4" firstHeaderRow="1" firstDataRow="1" firstDataCol="0"/>
  <pivotFields count="3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dataField="1" showAll="0"/>
    <pivotField showAll="0"/>
    <pivotField showAll="0">
      <items count="4">
        <item x="0"/>
        <item x="1"/>
        <item x="2"/>
        <item t="default"/>
      </items>
    </pivotField>
    <pivotField showAll="0"/>
    <pivotField showAll="0"/>
    <pivotField showAll="0">
      <items count="6">
        <item x="4"/>
        <item x="3"/>
        <item x="2"/>
        <item x="0"/>
        <item x="1"/>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pivotField showAll="0" defaultSubtotal="0">
      <items count="4">
        <item x="0"/>
        <item x="1"/>
        <item x="2"/>
        <item x="3"/>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Total Amount" fld="9" subtotal="average" baseField="0" baseItem="0" numFmtId="164"/>
  </dataFields>
  <formats count="4">
    <format dxfId="62">
      <pivotArea outline="0" collapsedLevelsAreSubtotals="1" fieldPosition="0"/>
    </format>
    <format dxfId="61">
      <pivotArea type="all" dataOnly="0" outline="0" fieldPosition="0"/>
    </format>
    <format dxfId="60">
      <pivotArea outline="0" collapsedLevelsAreSubtotals="1" fieldPosition="0"/>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7334E4-F677-4D8C-9FEC-95C6BBB25E5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1" firstHeaderRow="1" firstDataRow="1" firstDataCol="1"/>
  <pivotFields count="3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showAll="0">
      <items count="6">
        <item x="3"/>
        <item x="0"/>
        <item x="1"/>
        <item x="4"/>
        <item x="2"/>
        <item t="default"/>
      </items>
    </pivotField>
    <pivotField axis="axisRow" showAll="0">
      <items count="4">
        <item x="0"/>
        <item x="1"/>
        <item x="2"/>
        <item t="default"/>
      </items>
    </pivotField>
    <pivotField showAll="0"/>
    <pivotField showAll="0"/>
    <pivotField showAll="0">
      <items count="6">
        <item x="4"/>
        <item x="3"/>
        <item x="2"/>
        <item x="0"/>
        <item x="1"/>
        <item t="default"/>
      </items>
    </pivotField>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Items count="1">
    <i/>
  </colItems>
  <dataFields count="1">
    <dataField name="Average of delivery_time(days)" fld="15" subtotal="average" baseField="11" baseItem="0"/>
  </dataFields>
  <formats count="1">
    <format dxfId="63">
      <pivotArea collapsedLevelsAreSubtotals="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17F606-764D-42BC-B29C-4A9841338D2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T3:T4" firstHeaderRow="1" firstDataRow="1" firstDataCol="0"/>
  <pivotFields count="3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showAll="0">
      <items count="6">
        <item x="4"/>
        <item x="3"/>
        <item x="2"/>
        <item x="0"/>
        <item x="1"/>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of Fast_Deliveries" fld="24" subtotal="average" baseField="0" baseItem="0" numFmtId="10"/>
  </dataFields>
  <formats count="4">
    <format dxfId="67">
      <pivotArea outline="0" collapsedLevelsAreSubtotals="1" fieldPosition="0"/>
    </format>
    <format dxfId="66">
      <pivotArea type="all" dataOnly="0" outline="0" fieldPosition="0"/>
    </format>
    <format dxfId="65">
      <pivotArea outline="0" collapsedLevelsAreSubtotals="1" fieldPosition="0"/>
    </format>
    <format dxfId="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A6DE984-6352-44DB-BBC1-A3582BF34A1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Z17:AA23" firstHeaderRow="1" firstDataRow="1" firstDataCol="1"/>
  <pivotFields count="3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axis="axisRow"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6">
    <i>
      <x v="1"/>
    </i>
    <i>
      <x v="3"/>
    </i>
    <i>
      <x v="2"/>
    </i>
    <i>
      <x v="4"/>
    </i>
    <i>
      <x/>
    </i>
    <i t="grand">
      <x/>
    </i>
  </rowItems>
  <colItems count="1">
    <i/>
  </colItems>
  <dataFields count="1">
    <dataField name="Sum of Total Amount" fld="9" baseField="0" baseItem="0" numFmtId="164"/>
  </dataFields>
  <formats count="1">
    <format dxfId="68">
      <pivotArea outline="0" collapsedLevelsAreSubtotals="1" fieldPosition="0"/>
    </format>
  </formats>
  <chartFormats count="6">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4" count="1" selected="0">
            <x v="0"/>
          </reference>
        </references>
      </pivotArea>
    </chartFormat>
    <chartFormat chart="9" format="4">
      <pivotArea type="data" outline="0" fieldPosition="0">
        <references count="2">
          <reference field="4294967294" count="1" selected="0">
            <x v="0"/>
          </reference>
          <reference field="14" count="1" selected="0">
            <x v="4"/>
          </reference>
        </references>
      </pivotArea>
    </chartFormat>
    <chartFormat chart="9" format="5">
      <pivotArea type="data" outline="0" fieldPosition="0">
        <references count="2">
          <reference field="4294967294" count="1" selected="0">
            <x v="0"/>
          </reference>
          <reference field="14" count="1" selected="0">
            <x v="2"/>
          </reference>
        </references>
      </pivotArea>
    </chartFormat>
    <chartFormat chart="9" format="6">
      <pivotArea type="data" outline="0" fieldPosition="0">
        <references count="2">
          <reference field="4294967294" count="1" selected="0">
            <x v="0"/>
          </reference>
          <reference field="14" count="1" selected="0">
            <x v="3"/>
          </reference>
        </references>
      </pivotArea>
    </chartFormat>
    <chartFormat chart="9" format="7">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4CB7563-6E88-43FE-8F61-6EA0286CF16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R4" firstHeaderRow="1" firstDataRow="1" firstDataCol="0"/>
  <pivotFields count="3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items count="6">
        <item x="4"/>
        <item x="3"/>
        <item x="2"/>
        <item x="0"/>
        <item x="1"/>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venue" fld="9" baseField="0" baseItem="0"/>
  </dataFields>
  <formats count="3">
    <format dxfId="71">
      <pivotArea type="all" dataOnly="0" outline="0" fieldPosition="0"/>
    </format>
    <format dxfId="70">
      <pivotArea outline="0" collapsedLevelsAreSubtotals="1" fieldPosition="0"/>
    </format>
    <format dxfId="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F8A48B70-7B52-4DF5-A1C2-37527C4B4A9B}" autoFormatId="16" applyNumberFormats="0" applyBorderFormats="0" applyFontFormats="0" applyPatternFormats="0" applyAlignmentFormats="0" applyWidthHeightFormats="0">
  <queryTableRefresh nextId="3">
    <queryTableFields count="2">
      <queryTableField id="1" name="Region" tableColumnId="1"/>
      <queryTableField id="2" name="Sales Targe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9603C930-8792-4047-A221-F1EB70F02512}" autoFormatId="16" applyNumberFormats="0" applyBorderFormats="0" applyFontFormats="0" applyPatternFormats="0" applyAlignmentFormats="0" applyWidthHeightFormats="0">
  <queryTableRefresh nextId="6">
    <queryTableFields count="5">
      <queryTableField id="1" name="Product ID" tableColumnId="1"/>
      <queryTableField id="2" name="Product Name" tableColumnId="2"/>
      <queryTableField id="3" name="Category" tableColumnId="3"/>
      <queryTableField id="4" name="Cost Price" tableColumnId="4"/>
      <queryTableField id="5" name="Description"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C36BE2E0-495F-4714-9F69-0A5C50C4C6F0}" autoFormatId="16" applyNumberFormats="0" applyBorderFormats="0" applyFontFormats="0" applyPatternFormats="0" applyAlignmentFormats="0" applyWidthHeightFormats="0">
  <queryTableRefresh nextId="7" unboundColumnsRight="1">
    <queryTableFields count="6">
      <queryTableField id="1" name="Customer ID" tableColumnId="1"/>
      <queryTableField id="2" name="Customer Name" tableColumnId="2"/>
      <queryTableField id="3" name="State" tableColumnId="3"/>
      <queryTableField id="4" name="City" tableColumnId="4"/>
      <queryTableField id="5" name="Customer Type" tableColumnId="5"/>
      <queryTableField id="6" dataBound="0"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4A966FDC-6090-4403-9A78-66EFF278AFCA}" autoFormatId="16" applyNumberFormats="0" applyBorderFormats="0" applyFontFormats="0" applyPatternFormats="0" applyAlignmentFormats="0" applyWidthHeightFormats="0">
  <queryTableRefresh nextId="23" unboundColumnsRight="9">
    <queryTableFields count="22">
      <queryTableField id="1" name="Order ID" tableColumnId="1"/>
      <queryTableField id="2" name="Order Date" tableColumnId="2"/>
      <queryTableField id="3" name="Delivery Date" tableColumnId="3"/>
      <queryTableField id="4" name="Cancel Date" tableColumnId="4"/>
      <queryTableField id="5" name="Customer ID" tableColumnId="5"/>
      <queryTableField id="6" name="Product ID" tableColumnId="6"/>
      <queryTableField id="7" name="Region" tableColumnId="7"/>
      <queryTableField id="8" name="Sale Price/Unit" tableColumnId="8"/>
      <queryTableField id="9" name="Quantity" tableColumnId="9"/>
      <queryTableField id="10" name="Total Amount" tableColumnId="10"/>
      <queryTableField id="11" name="Payment Method" tableColumnId="11"/>
      <queryTableField id="12" name="Delivery Status" tableColumnId="12"/>
      <queryTableField id="13" name="Fulfillment Partner"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DB2C626-831A-4966-B918-C187266CE422}" sourceName="Payment Method">
  <pivotTables>
    <pivotTable tabId="7" name="PivotTable1"/>
    <pivotTable tabId="7" name="PivotTable10"/>
    <pivotTable tabId="7" name="PivotTable11"/>
    <pivotTable tabId="7" name="PivotTable12"/>
    <pivotTable tabId="7" name="PivotTable13"/>
    <pivotTable tabId="7" name="PivotTable2"/>
    <pivotTable tabId="7" name="PivotTable3"/>
    <pivotTable tabId="7" name="PivotTable4"/>
    <pivotTable tabId="7" name="PivotTable5"/>
    <pivotTable tabId="7" name="PivotTable7"/>
    <pivotTable tabId="7" name="PivotTable8"/>
  </pivotTables>
  <data>
    <tabular pivotCacheId="926756239">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58A2F3D-32D4-489A-B67C-37AE0DB2B1A3}" sourceName="Product_Category">
  <pivotTables>
    <pivotTable tabId="7" name="PivotTable1"/>
    <pivotTable tabId="7" name="PivotTable10"/>
    <pivotTable tabId="7" name="PivotTable11"/>
    <pivotTable tabId="7" name="PivotTable12"/>
    <pivotTable tabId="7" name="PivotTable13"/>
    <pivotTable tabId="7" name="PivotTable2"/>
    <pivotTable tabId="7" name="PivotTable3"/>
    <pivotTable tabId="7" name="PivotTable4"/>
    <pivotTable tabId="7" name="PivotTable5"/>
    <pivotTable tabId="7" name="PivotTable6"/>
    <pivotTable tabId="7" name="PivotTable7"/>
    <pivotTable tabId="7" name="PivotTable8"/>
  </pivotTables>
  <data>
    <tabular pivotCacheId="926756239">
      <items count="5">
        <i x="4" s="1"/>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04380700-4191-4F04-BA68-4FC10CEE7830}" sourceName="Delivery Status">
  <pivotTables>
    <pivotTable tabId="7" name="PivotTable2"/>
    <pivotTable tabId="7" name="PivotTable1"/>
    <pivotTable tabId="7" name="PivotTable10"/>
    <pivotTable tabId="7" name="PivotTable11"/>
    <pivotTable tabId="7" name="PivotTable12"/>
    <pivotTable tabId="7" name="PivotTable13"/>
    <pivotTable tabId="7" name="PivotTable3"/>
    <pivotTable tabId="7" name="PivotTable4"/>
    <pivotTable tabId="7" name="PivotTable5"/>
    <pivotTable tabId="7" name="PivotTable6"/>
    <pivotTable tabId="7" name="PivotTable7"/>
    <pivotTable tabId="7" name="PivotTable8"/>
  </pivotTables>
  <data>
    <tabular pivotCacheId="92675623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4184AEDC-8778-4A55-84F9-D60A3A97AC43}" cache="Slicer_Payment_Method" caption="Payment Method" rowHeight="241300"/>
  <slicer name="Product_Category" xr10:uid="{14ED4A71-ACBD-4A7E-BC19-5E87D67299C8}" cache="Slicer_Product_Category" caption="Product_Category" rowHeight="241300"/>
  <slicer name="Delivery Status" xr10:uid="{F2922AF6-C84A-4955-A8DB-C86E10F27B85}" cache="Slicer_Delivery_Status" caption="Delivery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1" xr10:uid="{3D0BF9FB-EBF9-4BC2-BAC4-06A5D3ED7A61}" cache="Slicer_Payment_Method" caption="Payment Method" style="Slicer Style 1" rowHeight="241300"/>
  <slicer name="Product_Category 1" xr10:uid="{21046424-474F-4953-B986-903933DC55A6}" cache="Slicer_Product_Category" caption="Product_Category" style="Slicer Style 1" rowHeight="241300"/>
  <slicer name="Delivery Status 1" xr10:uid="{D37C3621-CDEC-4D1D-BCE2-D8C8E418A549}" cache="Slicer_Delivery_Status" caption="Delivery Status"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5C2D5F-A722-420A-A7EB-90306D6594E9}" name="RegionGoals" displayName="RegionGoals" ref="A1:B6" tableType="queryTable" totalsRowShown="0">
  <autoFilter ref="A1:B6" xr:uid="{DA5C2D5F-A722-420A-A7EB-90306D6594E9}"/>
  <tableColumns count="2">
    <tableColumn id="1" xr3:uid="{DF49E56B-BD2C-4B27-9909-4278DCFD7A4F}" uniqueName="1" name="Region" queryTableFieldId="1" dataDxfId="82"/>
    <tableColumn id="2" xr3:uid="{3F914243-3794-410F-AFD6-9DD08D7B4973}" uniqueName="2" name="Sales Target"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996370-190D-461D-B92A-66DBB39CBF1B}" name="ProductMaster" displayName="ProductMaster" ref="A1:E23" tableType="queryTable" totalsRowShown="0">
  <autoFilter ref="A1:E23" xr:uid="{43996370-190D-461D-B92A-66DBB39CBF1B}"/>
  <tableColumns count="5">
    <tableColumn id="1" xr3:uid="{0DF4036C-FC87-44BC-84A0-CD44170EC494}" uniqueName="1" name="Product ID" queryTableFieldId="1" dataDxfId="81"/>
    <tableColumn id="2" xr3:uid="{17ADE29E-4F3B-4906-A9DB-AB2A25A8DAE8}" uniqueName="2" name="Product Name" queryTableFieldId="2" dataDxfId="80"/>
    <tableColumn id="3" xr3:uid="{DAE54E8A-CB76-4CF5-81EE-6C6A66B319A3}" uniqueName="3" name="Category" queryTableFieldId="3" dataDxfId="79"/>
    <tableColumn id="4" xr3:uid="{25532F5C-32B1-4DC8-B1C7-A317CDF3D2A7}" uniqueName="4" name="Cost Price" queryTableFieldId="4"/>
    <tableColumn id="5" xr3:uid="{61C5AE06-94A4-42E7-B537-9A24B0CCE4D3}" uniqueName="5" name="Description" queryTableFieldId="5" dataDxfId="7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0C4B01-5261-4ADA-A5C1-B96DB8063B04}" name="CustomerMaster" displayName="CustomerMaster" ref="A1:F50" tableType="queryTable" totalsRowShown="0">
  <autoFilter ref="A1:F50" xr:uid="{F40C4B01-5261-4ADA-A5C1-B96DB8063B04}"/>
  <tableColumns count="6">
    <tableColumn id="1" xr3:uid="{94983DDE-CD41-43EA-99B2-7CC6C724A5E2}" uniqueName="1" name="Customer ID" queryTableFieldId="1" dataDxfId="77"/>
    <tableColumn id="2" xr3:uid="{E92D30A3-8E38-47CF-BA3C-EF62CB808894}" uniqueName="2" name="Customer Name" queryTableFieldId="2" dataDxfId="76"/>
    <tableColumn id="3" xr3:uid="{BCF8A63A-18E3-4955-A638-BB584A01463A}" uniqueName="3" name="State" queryTableFieldId="3" dataDxfId="75"/>
    <tableColumn id="4" xr3:uid="{226F0A5C-544D-469F-9127-287E638DED6C}" uniqueName="4" name="City" queryTableFieldId="4" dataDxfId="74"/>
    <tableColumn id="5" xr3:uid="{25238000-6254-4D57-A85C-44E8ADF59225}" uniqueName="5" name="Customer Type" queryTableFieldId="5" dataDxfId="73"/>
    <tableColumn id="6" xr3:uid="{45A4558E-C448-4D7D-A111-1881301E7299}" uniqueName="6" name="Column1" queryTableFieldId="6" dataDxfId="7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64E2FF-4831-4368-A7AE-83C2F93EB119}" name="AmazonSales" displayName="AmazonSales" ref="A1:V101" tableType="queryTable" totalsRowShown="0">
  <autoFilter ref="A1:V101" xr:uid="{1864E2FF-4831-4368-A7AE-83C2F93EB119}"/>
  <tableColumns count="22">
    <tableColumn id="1" xr3:uid="{4D40AAA3-75F1-4D07-B9F8-B03D5406DB31}" uniqueName="1" name="Order ID" queryTableFieldId="1" dataDxfId="18"/>
    <tableColumn id="2" xr3:uid="{718758E6-016E-43F3-840F-FD7F10509CE2}" uniqueName="2" name="Order Date" queryTableFieldId="2" dataDxfId="17"/>
    <tableColumn id="3" xr3:uid="{0860441F-F00C-4AB4-8593-1C770A34881C}" uniqueName="3" name="Delivery Date" queryTableFieldId="3" dataDxfId="16"/>
    <tableColumn id="4" xr3:uid="{E19BC01D-2F09-4335-AB18-5C3D73EBB058}" uniqueName="4" name="Cancel Date" queryTableFieldId="4" dataDxfId="15"/>
    <tableColumn id="5" xr3:uid="{9415C2E8-6B73-4DB5-890F-956D2ABFA0AF}" uniqueName="5" name="Customer ID" queryTableFieldId="5" dataDxfId="14"/>
    <tableColumn id="6" xr3:uid="{703A651E-7266-490D-89AE-1ECAC0E647E6}" uniqueName="6" name="Product ID" queryTableFieldId="6" dataDxfId="13"/>
    <tableColumn id="7" xr3:uid="{190D8916-C7D7-4276-A283-1C2E38BF3A5D}" uniqueName="7" name="Region" queryTableFieldId="7" dataDxfId="12"/>
    <tableColumn id="8" xr3:uid="{01A7E3BD-FB3F-4602-852A-4F9911A8E0F1}" uniqueName="8" name="Sale Price/Unit" queryTableFieldId="8"/>
    <tableColumn id="9" xr3:uid="{67AC2E6D-3962-4A3B-88A9-EE5A10CD9895}" uniqueName="9" name="Quantity" queryTableFieldId="9"/>
    <tableColumn id="10" xr3:uid="{92D98E8C-193C-4155-B6CD-4E73D2850A7B}" uniqueName="10" name="Total Amount" queryTableFieldId="10"/>
    <tableColumn id="11" xr3:uid="{61C91353-D79C-4673-BCAF-116823B50D51}" uniqueName="11" name="Payment Method" queryTableFieldId="11" dataDxfId="11"/>
    <tableColumn id="12" xr3:uid="{3758742C-63B9-45B9-B072-B19981CECE3D}" uniqueName="12" name="Delivery Status" queryTableFieldId="12" dataDxfId="10"/>
    <tableColumn id="13" xr3:uid="{476E0D80-4587-4A29-BC9F-83C471AE6EEE}" uniqueName="13" name="Fulfillment Partner" queryTableFieldId="13" dataDxfId="9"/>
    <tableColumn id="14" xr3:uid="{B3F784D4-29BC-4873-86C6-60C8B6D3A06E}" uniqueName="14" name="Status" queryTableFieldId="14" dataDxfId="8">
      <calculatedColumnFormula>IF(OR(AmazonSales[[#This Row],[Delivery Status]] = "Cancelled",AmazonSales[[#This Row],[Cancel Date]] &lt;&gt; ""),"Cancelled","Completed")</calculatedColumnFormula>
    </tableColumn>
    <tableColumn id="15" xr3:uid="{0C67C993-2426-408D-94C8-0BE96F082295}" uniqueName="15" name="Product_Category" queryTableFieldId="15" dataDxfId="7">
      <calculatedColumnFormula>_xlfn.XLOOKUP(AmazonSales[[#This Row],[Product ID]],ProductMaster[Product ID],ProductMaster[Category],,,1)</calculatedColumnFormula>
    </tableColumn>
    <tableColumn id="16" xr3:uid="{E9451C93-E2F4-48F7-9365-6CE91314950C}" uniqueName="16" name="delivery_time(days)" queryTableFieldId="16" dataDxfId="6">
      <calculatedColumnFormula>IF(AmazonSales[[#This Row],[Delivery Date]]="","",AmazonSales[[#This Row],[Delivery Date]]-AmazonSales[[#This Row],[Order Date]])</calculatedColumnFormula>
    </tableColumn>
    <tableColumn id="17" xr3:uid="{C56508C2-7A94-40BA-8664-6C9EFA443439}" uniqueName="17" name="Customer_name" queryTableFieldId="17" dataDxfId="5">
      <calculatedColumnFormula>_xlfn.XLOOKUP(AmazonSales[[#This Row],[Customer ID]],CustomerMaster[Customer ID],CustomerMaster[Customer Name],"not_found",0,1)</calculatedColumnFormula>
    </tableColumn>
    <tableColumn id="18" xr3:uid="{AE8E77F0-E167-4469-8C41-B22472D58F52}" uniqueName="18" name="Delivery_Performance" queryTableFieldId="18" dataDxfId="4">
      <calculatedColumnFormula>IF(AmazonSales[[#This Row],[Delivery Date]] = "","",IF(AmazonSales[[#This Row],[Delivery Date]]-AmazonSales[[#This Row],[Order Date]] &lt;= 2,"Fast","Slow"))</calculatedColumnFormula>
    </tableColumn>
    <tableColumn id="19" xr3:uid="{44AEE2EA-2767-4E25-9DEB-419735C102B3}" uniqueName="19" name="Cancel_orders" queryTableFieldId="19" dataDxfId="3">
      <calculatedColumnFormula>IF(AmazonSales[[#This Row],[Cancel Date]]&lt;&gt; "","cancelled","not_cancelled")</calculatedColumnFormula>
    </tableColumn>
    <tableColumn id="20" xr3:uid="{87252C5F-294C-4AD2-91CC-42D62AA813C2}" uniqueName="20" name="Cancellation_flag" queryTableFieldId="20" dataDxfId="2">
      <calculatedColumnFormula>IF(AmazonSales[[#This Row],[Cancel_orders]] = "cancelled",1,0)</calculatedColumnFormula>
    </tableColumn>
    <tableColumn id="21" xr3:uid="{9888C63A-4423-471F-9321-882480B00E52}" uniqueName="21" name="delivered_sales" queryTableFieldId="21" dataDxfId="1">
      <calculatedColumnFormula>IF(AmazonSales[[#This Row],[Delivery Status]] = "Delivered",AmazonSales[[#This Row],[Total Amount]],0)</calculatedColumnFormula>
    </tableColumn>
    <tableColumn id="22" xr3:uid="{12DD7723-D149-4606-8D36-479AD7293B91}" uniqueName="22" name="Total_deliver" queryTableFieldId="22" dataDxfId="0">
      <calculatedColumnFormula>IF(AmazonSales[[#This Row],[Delivery_Performance]] = "Fast",1,0)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18669-C121-4A7C-8867-5AAE841FF0AD}">
  <dimension ref="A1:B6"/>
  <sheetViews>
    <sheetView zoomScale="89" workbookViewId="0">
      <selection activeCell="J27" sqref="J27:L29"/>
    </sheetView>
  </sheetViews>
  <sheetFormatPr defaultRowHeight="15" x14ac:dyDescent="0.25"/>
  <cols>
    <col min="1" max="1" width="9.42578125" bestFit="1" customWidth="1"/>
    <col min="2" max="2" width="13.85546875" bestFit="1" customWidth="1"/>
  </cols>
  <sheetData>
    <row r="1" spans="1:2" x14ac:dyDescent="0.25">
      <c r="A1" t="s">
        <v>6</v>
      </c>
      <c r="B1" t="s">
        <v>310</v>
      </c>
    </row>
    <row r="2" spans="1:2" x14ac:dyDescent="0.25">
      <c r="A2" t="s">
        <v>45</v>
      </c>
      <c r="B2">
        <v>97500</v>
      </c>
    </row>
    <row r="3" spans="1:2" x14ac:dyDescent="0.25">
      <c r="A3" t="s">
        <v>23</v>
      </c>
      <c r="B3">
        <v>50500</v>
      </c>
    </row>
    <row r="4" spans="1:2" x14ac:dyDescent="0.25">
      <c r="A4" t="s">
        <v>16</v>
      </c>
      <c r="B4">
        <v>105000</v>
      </c>
    </row>
    <row r="5" spans="1:2" x14ac:dyDescent="0.25">
      <c r="A5" t="s">
        <v>28</v>
      </c>
      <c r="B5">
        <v>91500</v>
      </c>
    </row>
    <row r="6" spans="1:2" x14ac:dyDescent="0.25">
      <c r="A6" t="s">
        <v>50</v>
      </c>
      <c r="B6">
        <v>90750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1CEDF-384A-4388-9E2F-8B56FD419F9B}">
  <dimension ref="A1:E23"/>
  <sheetViews>
    <sheetView workbookViewId="0"/>
  </sheetViews>
  <sheetFormatPr defaultRowHeight="15" x14ac:dyDescent="0.25"/>
  <cols>
    <col min="1" max="1" width="12.42578125" bestFit="1" customWidth="1"/>
    <col min="2" max="2" width="17.7109375" bestFit="1" customWidth="1"/>
    <col min="3" max="3" width="11.140625" bestFit="1" customWidth="1"/>
    <col min="4" max="4" width="12" bestFit="1" customWidth="1"/>
    <col min="5" max="5" width="51" bestFit="1" customWidth="1"/>
  </cols>
  <sheetData>
    <row r="1" spans="1:5" x14ac:dyDescent="0.25">
      <c r="A1" t="s">
        <v>5</v>
      </c>
      <c r="B1" t="s">
        <v>257</v>
      </c>
      <c r="C1" t="s">
        <v>258</v>
      </c>
      <c r="D1" t="s">
        <v>259</v>
      </c>
      <c r="E1" t="s">
        <v>260</v>
      </c>
    </row>
    <row r="2" spans="1:5" x14ac:dyDescent="0.25">
      <c r="A2" t="s">
        <v>81</v>
      </c>
      <c r="B2" t="s">
        <v>261</v>
      </c>
      <c r="C2" t="s">
        <v>262</v>
      </c>
      <c r="D2">
        <v>749</v>
      </c>
      <c r="E2" t="s">
        <v>263</v>
      </c>
    </row>
    <row r="3" spans="1:5" x14ac:dyDescent="0.25">
      <c r="A3" t="s">
        <v>90</v>
      </c>
      <c r="B3" t="s">
        <v>264</v>
      </c>
      <c r="C3" t="s">
        <v>265</v>
      </c>
      <c r="D3">
        <v>39</v>
      </c>
      <c r="E3" t="s">
        <v>266</v>
      </c>
    </row>
    <row r="4" spans="1:5" x14ac:dyDescent="0.25">
      <c r="A4" t="s">
        <v>55</v>
      </c>
      <c r="B4" t="s">
        <v>267</v>
      </c>
      <c r="C4" t="s">
        <v>268</v>
      </c>
      <c r="D4">
        <v>129</v>
      </c>
      <c r="E4" t="s">
        <v>269</v>
      </c>
    </row>
    <row r="5" spans="1:5" x14ac:dyDescent="0.25">
      <c r="A5" t="s">
        <v>119</v>
      </c>
      <c r="B5" t="s">
        <v>270</v>
      </c>
      <c r="C5" t="s">
        <v>265</v>
      </c>
      <c r="D5">
        <v>59</v>
      </c>
      <c r="E5" t="s">
        <v>271</v>
      </c>
    </row>
    <row r="6" spans="1:5" x14ac:dyDescent="0.25">
      <c r="A6" t="s">
        <v>69</v>
      </c>
      <c r="B6" t="s">
        <v>272</v>
      </c>
      <c r="C6" t="s">
        <v>273</v>
      </c>
      <c r="D6">
        <v>25</v>
      </c>
      <c r="E6" t="s">
        <v>274</v>
      </c>
    </row>
    <row r="7" spans="1:5" x14ac:dyDescent="0.25">
      <c r="A7" t="s">
        <v>64</v>
      </c>
      <c r="B7" t="s">
        <v>275</v>
      </c>
      <c r="C7" t="s">
        <v>273</v>
      </c>
      <c r="D7">
        <v>89</v>
      </c>
      <c r="E7" t="s">
        <v>276</v>
      </c>
    </row>
    <row r="8" spans="1:5" x14ac:dyDescent="0.25">
      <c r="A8" t="s">
        <v>114</v>
      </c>
      <c r="B8" t="s">
        <v>277</v>
      </c>
      <c r="C8" t="s">
        <v>265</v>
      </c>
      <c r="D8">
        <v>29</v>
      </c>
      <c r="E8" t="s">
        <v>278</v>
      </c>
    </row>
    <row r="9" spans="1:5" x14ac:dyDescent="0.25">
      <c r="A9" t="s">
        <v>76</v>
      </c>
      <c r="B9" t="s">
        <v>279</v>
      </c>
      <c r="C9" t="s">
        <v>280</v>
      </c>
      <c r="D9">
        <v>65</v>
      </c>
      <c r="E9" t="s">
        <v>281</v>
      </c>
    </row>
    <row r="10" spans="1:5" x14ac:dyDescent="0.25">
      <c r="A10" t="s">
        <v>104</v>
      </c>
      <c r="B10" t="s">
        <v>282</v>
      </c>
      <c r="C10" t="s">
        <v>280</v>
      </c>
      <c r="D10">
        <v>10</v>
      </c>
      <c r="E10" t="s">
        <v>283</v>
      </c>
    </row>
    <row r="11" spans="1:5" x14ac:dyDescent="0.25">
      <c r="A11" t="s">
        <v>37</v>
      </c>
      <c r="B11" t="s">
        <v>284</v>
      </c>
      <c r="C11" t="s">
        <v>273</v>
      </c>
      <c r="D11">
        <v>55</v>
      </c>
      <c r="E11" t="s">
        <v>285</v>
      </c>
    </row>
    <row r="12" spans="1:5" x14ac:dyDescent="0.25">
      <c r="A12" t="s">
        <v>109</v>
      </c>
      <c r="B12" t="s">
        <v>286</v>
      </c>
      <c r="C12" t="s">
        <v>262</v>
      </c>
      <c r="D12">
        <v>159</v>
      </c>
      <c r="E12" t="s">
        <v>287</v>
      </c>
    </row>
    <row r="13" spans="1:5" x14ac:dyDescent="0.25">
      <c r="A13" t="s">
        <v>15</v>
      </c>
      <c r="B13" t="s">
        <v>288</v>
      </c>
      <c r="C13" t="s">
        <v>268</v>
      </c>
      <c r="D13">
        <v>42</v>
      </c>
      <c r="E13" t="s">
        <v>289</v>
      </c>
    </row>
    <row r="14" spans="1:5" x14ac:dyDescent="0.25">
      <c r="A14" t="s">
        <v>27</v>
      </c>
      <c r="B14" t="s">
        <v>290</v>
      </c>
      <c r="C14" t="s">
        <v>268</v>
      </c>
      <c r="D14">
        <v>185</v>
      </c>
      <c r="E14" t="s">
        <v>291</v>
      </c>
    </row>
    <row r="15" spans="1:5" x14ac:dyDescent="0.25">
      <c r="A15" t="s">
        <v>58</v>
      </c>
      <c r="B15" t="s">
        <v>292</v>
      </c>
      <c r="C15" t="s">
        <v>262</v>
      </c>
      <c r="D15">
        <v>229</v>
      </c>
      <c r="E15" t="s">
        <v>293</v>
      </c>
    </row>
    <row r="16" spans="1:5" x14ac:dyDescent="0.25">
      <c r="A16" t="s">
        <v>73</v>
      </c>
      <c r="B16" t="s">
        <v>294</v>
      </c>
      <c r="C16" t="s">
        <v>280</v>
      </c>
      <c r="D16">
        <v>20</v>
      </c>
      <c r="E16" t="s">
        <v>295</v>
      </c>
    </row>
    <row r="17" spans="1:5" x14ac:dyDescent="0.25">
      <c r="A17" t="s">
        <v>111</v>
      </c>
      <c r="B17" t="s">
        <v>296</v>
      </c>
      <c r="C17" t="s">
        <v>268</v>
      </c>
      <c r="D17">
        <v>199</v>
      </c>
      <c r="E17" t="s">
        <v>297</v>
      </c>
    </row>
    <row r="18" spans="1:5" x14ac:dyDescent="0.25">
      <c r="A18" t="s">
        <v>67</v>
      </c>
      <c r="B18" t="s">
        <v>298</v>
      </c>
      <c r="C18" t="s">
        <v>262</v>
      </c>
      <c r="D18">
        <v>69</v>
      </c>
      <c r="E18" t="s">
        <v>299</v>
      </c>
    </row>
    <row r="19" spans="1:5" x14ac:dyDescent="0.25">
      <c r="A19" t="s">
        <v>22</v>
      </c>
      <c r="B19" t="s">
        <v>300</v>
      </c>
      <c r="C19" t="s">
        <v>265</v>
      </c>
      <c r="D19">
        <v>89</v>
      </c>
      <c r="E19" t="s">
        <v>301</v>
      </c>
    </row>
    <row r="20" spans="1:5" x14ac:dyDescent="0.25">
      <c r="A20" t="s">
        <v>53</v>
      </c>
      <c r="B20" t="s">
        <v>302</v>
      </c>
      <c r="C20" t="s">
        <v>273</v>
      </c>
      <c r="D20">
        <v>40</v>
      </c>
      <c r="E20" t="s">
        <v>303</v>
      </c>
    </row>
    <row r="21" spans="1:5" x14ac:dyDescent="0.25">
      <c r="A21" t="s">
        <v>44</v>
      </c>
      <c r="B21" t="s">
        <v>304</v>
      </c>
      <c r="C21" t="s">
        <v>262</v>
      </c>
      <c r="D21">
        <v>99</v>
      </c>
      <c r="E21" t="s">
        <v>305</v>
      </c>
    </row>
    <row r="22" spans="1:5" x14ac:dyDescent="0.25">
      <c r="A22" t="s">
        <v>49</v>
      </c>
      <c r="B22" t="s">
        <v>306</v>
      </c>
      <c r="C22" t="s">
        <v>268</v>
      </c>
      <c r="D22">
        <v>34</v>
      </c>
      <c r="E22" t="s">
        <v>307</v>
      </c>
    </row>
    <row r="23" spans="1:5" x14ac:dyDescent="0.25">
      <c r="A23" t="s">
        <v>92</v>
      </c>
      <c r="B23" t="s">
        <v>308</v>
      </c>
      <c r="C23" t="s">
        <v>273</v>
      </c>
      <c r="D23">
        <v>60</v>
      </c>
      <c r="E23" t="s">
        <v>309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A83BF-408B-437B-9847-E1884ECBC81D}">
  <dimension ref="A1:F50"/>
  <sheetViews>
    <sheetView workbookViewId="0">
      <selection activeCell="M15" sqref="M15"/>
    </sheetView>
  </sheetViews>
  <sheetFormatPr defaultRowHeight="15" x14ac:dyDescent="0.25"/>
  <cols>
    <col min="1" max="1" width="14.140625" bestFit="1" customWidth="1"/>
    <col min="2" max="2" width="17.7109375" bestFit="1" customWidth="1"/>
    <col min="3" max="3" width="11.5703125" bestFit="1" customWidth="1"/>
    <col min="4" max="4" width="12.7109375" bestFit="1" customWidth="1"/>
    <col min="5" max="5" width="16.7109375" bestFit="1" customWidth="1"/>
  </cols>
  <sheetData>
    <row r="1" spans="1:6" x14ac:dyDescent="0.25">
      <c r="A1" t="s">
        <v>4</v>
      </c>
      <c r="B1" t="s">
        <v>195</v>
      </c>
      <c r="C1" t="s">
        <v>196</v>
      </c>
      <c r="D1" t="s">
        <v>197</v>
      </c>
      <c r="E1" t="s">
        <v>198</v>
      </c>
      <c r="F1" t="s">
        <v>312</v>
      </c>
    </row>
    <row r="2" spans="1:6" x14ac:dyDescent="0.25">
      <c r="A2" t="s">
        <v>121</v>
      </c>
      <c r="B2" t="s">
        <v>199</v>
      </c>
      <c r="C2" t="s">
        <v>200</v>
      </c>
      <c r="D2" t="s">
        <v>200</v>
      </c>
      <c r="E2" t="s">
        <v>201</v>
      </c>
    </row>
    <row r="3" spans="1:6" x14ac:dyDescent="0.25">
      <c r="A3" t="s">
        <v>202</v>
      </c>
      <c r="B3" t="s">
        <v>203</v>
      </c>
      <c r="C3" t="s">
        <v>204</v>
      </c>
      <c r="D3" t="s">
        <v>205</v>
      </c>
      <c r="E3" t="s">
        <v>206</v>
      </c>
    </row>
    <row r="4" spans="1:6" x14ac:dyDescent="0.25">
      <c r="A4" t="s">
        <v>143</v>
      </c>
      <c r="B4" t="s">
        <v>207</v>
      </c>
      <c r="C4" t="s">
        <v>208</v>
      </c>
      <c r="D4" t="s">
        <v>209</v>
      </c>
      <c r="E4" t="s">
        <v>206</v>
      </c>
    </row>
    <row r="5" spans="1:6" x14ac:dyDescent="0.25">
      <c r="A5" t="s">
        <v>150</v>
      </c>
      <c r="B5" t="s">
        <v>210</v>
      </c>
      <c r="C5" t="s">
        <v>211</v>
      </c>
      <c r="D5" t="s">
        <v>212</v>
      </c>
      <c r="E5" t="s">
        <v>206</v>
      </c>
    </row>
    <row r="6" spans="1:6" x14ac:dyDescent="0.25">
      <c r="A6" t="s">
        <v>213</v>
      </c>
      <c r="B6" t="s">
        <v>214</v>
      </c>
      <c r="C6" t="s">
        <v>204</v>
      </c>
      <c r="D6" t="s">
        <v>205</v>
      </c>
      <c r="E6" t="s">
        <v>206</v>
      </c>
    </row>
    <row r="7" spans="1:6" x14ac:dyDescent="0.25">
      <c r="A7" t="s">
        <v>118</v>
      </c>
      <c r="B7" t="s">
        <v>215</v>
      </c>
      <c r="C7" t="s">
        <v>216</v>
      </c>
      <c r="D7" t="s">
        <v>217</v>
      </c>
      <c r="E7" t="s">
        <v>206</v>
      </c>
    </row>
    <row r="8" spans="1:6" x14ac:dyDescent="0.25">
      <c r="A8" t="s">
        <v>97</v>
      </c>
      <c r="B8" t="s">
        <v>218</v>
      </c>
      <c r="C8" t="s">
        <v>211</v>
      </c>
      <c r="D8" t="s">
        <v>212</v>
      </c>
      <c r="E8" t="s">
        <v>206</v>
      </c>
    </row>
    <row r="9" spans="1:6" x14ac:dyDescent="0.25">
      <c r="A9" t="s">
        <v>99</v>
      </c>
      <c r="B9" t="s">
        <v>219</v>
      </c>
      <c r="C9" t="s">
        <v>208</v>
      </c>
      <c r="D9" t="s">
        <v>220</v>
      </c>
      <c r="E9" t="s">
        <v>201</v>
      </c>
    </row>
    <row r="10" spans="1:6" x14ac:dyDescent="0.25">
      <c r="A10" t="s">
        <v>40</v>
      </c>
      <c r="B10" t="s">
        <v>221</v>
      </c>
      <c r="C10" t="s">
        <v>204</v>
      </c>
      <c r="D10" t="s">
        <v>205</v>
      </c>
      <c r="E10" t="s">
        <v>201</v>
      </c>
    </row>
    <row r="11" spans="1:6" x14ac:dyDescent="0.25">
      <c r="A11" t="s">
        <v>222</v>
      </c>
      <c r="B11" t="s">
        <v>223</v>
      </c>
      <c r="C11" t="s">
        <v>216</v>
      </c>
      <c r="D11" t="s">
        <v>217</v>
      </c>
      <c r="E11" t="s">
        <v>206</v>
      </c>
    </row>
    <row r="12" spans="1:6" x14ac:dyDescent="0.25">
      <c r="A12" t="s">
        <v>75</v>
      </c>
      <c r="B12" t="s">
        <v>224</v>
      </c>
      <c r="C12" t="s">
        <v>225</v>
      </c>
      <c r="D12" t="s">
        <v>226</v>
      </c>
      <c r="E12" t="s">
        <v>201</v>
      </c>
    </row>
    <row r="13" spans="1:6" x14ac:dyDescent="0.25">
      <c r="A13" t="s">
        <v>227</v>
      </c>
      <c r="B13" t="s">
        <v>199</v>
      </c>
      <c r="C13" t="s">
        <v>228</v>
      </c>
      <c r="D13" t="s">
        <v>229</v>
      </c>
      <c r="E13" t="s">
        <v>230</v>
      </c>
    </row>
    <row r="14" spans="1:6" x14ac:dyDescent="0.25">
      <c r="A14" t="s">
        <v>52</v>
      </c>
      <c r="B14" t="s">
        <v>214</v>
      </c>
      <c r="C14" t="s">
        <v>204</v>
      </c>
      <c r="D14" t="s">
        <v>205</v>
      </c>
      <c r="E14" t="s">
        <v>206</v>
      </c>
    </row>
    <row r="15" spans="1:6" x14ac:dyDescent="0.25">
      <c r="A15" t="s">
        <v>101</v>
      </c>
      <c r="B15" t="s">
        <v>219</v>
      </c>
      <c r="C15" t="s">
        <v>216</v>
      </c>
      <c r="D15" t="s">
        <v>217</v>
      </c>
      <c r="E15" t="s">
        <v>230</v>
      </c>
    </row>
    <row r="16" spans="1:6" x14ac:dyDescent="0.25">
      <c r="A16" t="s">
        <v>174</v>
      </c>
      <c r="B16" t="s">
        <v>231</v>
      </c>
      <c r="C16" t="s">
        <v>228</v>
      </c>
      <c r="D16" t="s">
        <v>229</v>
      </c>
      <c r="E16" t="s">
        <v>230</v>
      </c>
    </row>
    <row r="17" spans="1:5" x14ac:dyDescent="0.25">
      <c r="A17" t="s">
        <v>85</v>
      </c>
      <c r="B17" t="s">
        <v>232</v>
      </c>
      <c r="C17" t="s">
        <v>228</v>
      </c>
      <c r="D17" t="s">
        <v>229</v>
      </c>
      <c r="E17" t="s">
        <v>206</v>
      </c>
    </row>
    <row r="18" spans="1:5" x14ac:dyDescent="0.25">
      <c r="A18" t="s">
        <v>139</v>
      </c>
      <c r="B18" t="s">
        <v>233</v>
      </c>
      <c r="C18" t="s">
        <v>208</v>
      </c>
      <c r="D18" t="s">
        <v>209</v>
      </c>
      <c r="E18" t="s">
        <v>201</v>
      </c>
    </row>
    <row r="19" spans="1:5" x14ac:dyDescent="0.25">
      <c r="A19" t="s">
        <v>94</v>
      </c>
      <c r="B19" t="s">
        <v>234</v>
      </c>
      <c r="C19" t="s">
        <v>225</v>
      </c>
      <c r="D19" t="s">
        <v>226</v>
      </c>
      <c r="E19" t="s">
        <v>230</v>
      </c>
    </row>
    <row r="20" spans="1:5" x14ac:dyDescent="0.25">
      <c r="A20" t="s">
        <v>48</v>
      </c>
      <c r="B20" t="s">
        <v>215</v>
      </c>
      <c r="C20" t="s">
        <v>204</v>
      </c>
      <c r="D20" t="s">
        <v>205</v>
      </c>
      <c r="E20" t="s">
        <v>206</v>
      </c>
    </row>
    <row r="21" spans="1:5" x14ac:dyDescent="0.25">
      <c r="A21" t="s">
        <v>235</v>
      </c>
      <c r="B21" t="s">
        <v>236</v>
      </c>
      <c r="C21" t="s">
        <v>216</v>
      </c>
      <c r="D21" t="s">
        <v>217</v>
      </c>
      <c r="E21" t="s">
        <v>230</v>
      </c>
    </row>
    <row r="22" spans="1:5" x14ac:dyDescent="0.25">
      <c r="A22" t="s">
        <v>14</v>
      </c>
      <c r="B22" t="s">
        <v>237</v>
      </c>
      <c r="C22" t="s">
        <v>208</v>
      </c>
      <c r="D22" t="s">
        <v>209</v>
      </c>
      <c r="E22" t="s">
        <v>230</v>
      </c>
    </row>
    <row r="23" spans="1:5" x14ac:dyDescent="0.25">
      <c r="A23" t="s">
        <v>148</v>
      </c>
      <c r="B23" t="s">
        <v>232</v>
      </c>
      <c r="C23" t="s">
        <v>225</v>
      </c>
      <c r="D23" t="s">
        <v>226</v>
      </c>
      <c r="E23" t="s">
        <v>230</v>
      </c>
    </row>
    <row r="24" spans="1:5" x14ac:dyDescent="0.25">
      <c r="A24" t="s">
        <v>63</v>
      </c>
      <c r="B24" t="s">
        <v>238</v>
      </c>
      <c r="C24" t="s">
        <v>208</v>
      </c>
      <c r="D24" t="s">
        <v>209</v>
      </c>
      <c r="E24" t="s">
        <v>230</v>
      </c>
    </row>
    <row r="25" spans="1:5" x14ac:dyDescent="0.25">
      <c r="A25" t="s">
        <v>116</v>
      </c>
      <c r="B25" t="s">
        <v>239</v>
      </c>
      <c r="C25" t="s">
        <v>225</v>
      </c>
      <c r="D25" t="s">
        <v>226</v>
      </c>
      <c r="E25" t="s">
        <v>201</v>
      </c>
    </row>
    <row r="26" spans="1:5" x14ac:dyDescent="0.25">
      <c r="A26" t="s">
        <v>80</v>
      </c>
      <c r="B26" t="s">
        <v>233</v>
      </c>
      <c r="C26" t="s">
        <v>225</v>
      </c>
      <c r="D26" t="s">
        <v>226</v>
      </c>
      <c r="E26" t="s">
        <v>230</v>
      </c>
    </row>
    <row r="27" spans="1:5" x14ac:dyDescent="0.25">
      <c r="A27" t="s">
        <v>131</v>
      </c>
      <c r="B27" t="s">
        <v>237</v>
      </c>
      <c r="C27" t="s">
        <v>204</v>
      </c>
      <c r="D27" t="s">
        <v>205</v>
      </c>
      <c r="E27" t="s">
        <v>230</v>
      </c>
    </row>
    <row r="28" spans="1:5" x14ac:dyDescent="0.25">
      <c r="A28" t="s">
        <v>36</v>
      </c>
      <c r="B28" t="s">
        <v>240</v>
      </c>
      <c r="C28" t="s">
        <v>204</v>
      </c>
      <c r="D28" t="s">
        <v>205</v>
      </c>
      <c r="E28" t="s">
        <v>230</v>
      </c>
    </row>
    <row r="29" spans="1:5" x14ac:dyDescent="0.25">
      <c r="A29" t="s">
        <v>87</v>
      </c>
      <c r="B29" t="s">
        <v>241</v>
      </c>
      <c r="C29" t="s">
        <v>208</v>
      </c>
      <c r="D29" t="s">
        <v>209</v>
      </c>
      <c r="E29" t="s">
        <v>201</v>
      </c>
    </row>
    <row r="30" spans="1:5" x14ac:dyDescent="0.25">
      <c r="A30" t="s">
        <v>21</v>
      </c>
      <c r="B30" t="s">
        <v>231</v>
      </c>
      <c r="C30" t="s">
        <v>225</v>
      </c>
      <c r="D30" t="s">
        <v>226</v>
      </c>
      <c r="E30" t="s">
        <v>230</v>
      </c>
    </row>
    <row r="31" spans="1:5" x14ac:dyDescent="0.25">
      <c r="A31" t="s">
        <v>242</v>
      </c>
      <c r="B31" t="s">
        <v>233</v>
      </c>
      <c r="C31" t="s">
        <v>204</v>
      </c>
      <c r="D31" t="s">
        <v>205</v>
      </c>
      <c r="E31" t="s">
        <v>230</v>
      </c>
    </row>
    <row r="32" spans="1:5" x14ac:dyDescent="0.25">
      <c r="A32" t="s">
        <v>183</v>
      </c>
      <c r="B32" t="s">
        <v>243</v>
      </c>
      <c r="C32" t="s">
        <v>204</v>
      </c>
      <c r="D32" t="s">
        <v>205</v>
      </c>
      <c r="E32" t="s">
        <v>201</v>
      </c>
    </row>
    <row r="33" spans="1:5" x14ac:dyDescent="0.25">
      <c r="A33" t="s">
        <v>108</v>
      </c>
      <c r="B33" t="s">
        <v>244</v>
      </c>
      <c r="C33" t="s">
        <v>208</v>
      </c>
      <c r="D33" t="s">
        <v>209</v>
      </c>
      <c r="E33" t="s">
        <v>201</v>
      </c>
    </row>
    <row r="34" spans="1:5" x14ac:dyDescent="0.25">
      <c r="A34" t="s">
        <v>66</v>
      </c>
      <c r="B34" t="s">
        <v>245</v>
      </c>
      <c r="C34" t="s">
        <v>228</v>
      </c>
      <c r="D34" t="s">
        <v>229</v>
      </c>
      <c r="E34" t="s">
        <v>201</v>
      </c>
    </row>
    <row r="35" spans="1:5" x14ac:dyDescent="0.25">
      <c r="A35" t="s">
        <v>193</v>
      </c>
      <c r="B35" t="s">
        <v>246</v>
      </c>
      <c r="C35" t="s">
        <v>228</v>
      </c>
      <c r="D35" t="s">
        <v>229</v>
      </c>
      <c r="E35" t="s">
        <v>230</v>
      </c>
    </row>
    <row r="36" spans="1:5" x14ac:dyDescent="0.25">
      <c r="A36" t="s">
        <v>146</v>
      </c>
      <c r="B36" t="s">
        <v>247</v>
      </c>
      <c r="C36" t="s">
        <v>225</v>
      </c>
      <c r="D36" t="s">
        <v>226</v>
      </c>
      <c r="E36" t="s">
        <v>201</v>
      </c>
    </row>
    <row r="37" spans="1:5" x14ac:dyDescent="0.25">
      <c r="A37" t="s">
        <v>186</v>
      </c>
      <c r="B37" t="s">
        <v>207</v>
      </c>
      <c r="C37" t="s">
        <v>216</v>
      </c>
      <c r="D37" t="s">
        <v>217</v>
      </c>
      <c r="E37" t="s">
        <v>201</v>
      </c>
    </row>
    <row r="38" spans="1:5" x14ac:dyDescent="0.25">
      <c r="A38" t="s">
        <v>103</v>
      </c>
      <c r="B38" t="s">
        <v>203</v>
      </c>
      <c r="C38" t="s">
        <v>225</v>
      </c>
      <c r="D38" t="s">
        <v>226</v>
      </c>
      <c r="E38" t="s">
        <v>230</v>
      </c>
    </row>
    <row r="39" spans="1:5" x14ac:dyDescent="0.25">
      <c r="A39" t="s">
        <v>248</v>
      </c>
      <c r="B39" t="s">
        <v>249</v>
      </c>
      <c r="C39" t="s">
        <v>208</v>
      </c>
      <c r="D39" t="s">
        <v>209</v>
      </c>
      <c r="E39" t="s">
        <v>201</v>
      </c>
    </row>
    <row r="40" spans="1:5" x14ac:dyDescent="0.25">
      <c r="A40" t="s">
        <v>127</v>
      </c>
      <c r="B40" t="s">
        <v>250</v>
      </c>
      <c r="C40" t="s">
        <v>208</v>
      </c>
      <c r="D40" t="s">
        <v>209</v>
      </c>
      <c r="E40" t="s">
        <v>230</v>
      </c>
    </row>
    <row r="41" spans="1:5" x14ac:dyDescent="0.25">
      <c r="A41" t="s">
        <v>89</v>
      </c>
      <c r="B41" t="s">
        <v>251</v>
      </c>
      <c r="C41" t="s">
        <v>208</v>
      </c>
      <c r="D41" t="s">
        <v>209</v>
      </c>
      <c r="E41" t="s">
        <v>206</v>
      </c>
    </row>
    <row r="42" spans="1:5" x14ac:dyDescent="0.25">
      <c r="A42" t="s">
        <v>78</v>
      </c>
      <c r="B42" t="s">
        <v>252</v>
      </c>
      <c r="C42" t="s">
        <v>208</v>
      </c>
      <c r="D42" t="s">
        <v>209</v>
      </c>
      <c r="E42" t="s">
        <v>201</v>
      </c>
    </row>
    <row r="43" spans="1:5" x14ac:dyDescent="0.25">
      <c r="A43" t="s">
        <v>43</v>
      </c>
      <c r="B43" t="s">
        <v>210</v>
      </c>
      <c r="C43" t="s">
        <v>208</v>
      </c>
      <c r="D43" t="s">
        <v>209</v>
      </c>
      <c r="E43" t="s">
        <v>206</v>
      </c>
    </row>
    <row r="44" spans="1:5" x14ac:dyDescent="0.25">
      <c r="A44" t="s">
        <v>178</v>
      </c>
      <c r="B44" t="s">
        <v>253</v>
      </c>
      <c r="C44" t="s">
        <v>204</v>
      </c>
      <c r="D44" t="s">
        <v>205</v>
      </c>
      <c r="E44" t="s">
        <v>230</v>
      </c>
    </row>
    <row r="45" spans="1:5" x14ac:dyDescent="0.25">
      <c r="A45" t="s">
        <v>32</v>
      </c>
      <c r="B45" t="s">
        <v>254</v>
      </c>
      <c r="C45" t="s">
        <v>228</v>
      </c>
      <c r="D45" t="s">
        <v>229</v>
      </c>
      <c r="E45" t="s">
        <v>201</v>
      </c>
    </row>
    <row r="46" spans="1:5" x14ac:dyDescent="0.25">
      <c r="A46" t="s">
        <v>60</v>
      </c>
      <c r="B46" t="s">
        <v>203</v>
      </c>
      <c r="C46" t="s">
        <v>208</v>
      </c>
      <c r="D46" t="s">
        <v>209</v>
      </c>
      <c r="E46" t="s">
        <v>230</v>
      </c>
    </row>
    <row r="47" spans="1:5" x14ac:dyDescent="0.25">
      <c r="A47" t="s">
        <v>57</v>
      </c>
      <c r="B47" t="s">
        <v>203</v>
      </c>
      <c r="C47" t="s">
        <v>216</v>
      </c>
      <c r="D47" t="s">
        <v>217</v>
      </c>
      <c r="E47" t="s">
        <v>206</v>
      </c>
    </row>
    <row r="48" spans="1:5" x14ac:dyDescent="0.25">
      <c r="A48" t="s">
        <v>71</v>
      </c>
      <c r="B48" t="s">
        <v>239</v>
      </c>
      <c r="C48" t="s">
        <v>216</v>
      </c>
      <c r="D48" t="s">
        <v>217</v>
      </c>
      <c r="E48" t="s">
        <v>230</v>
      </c>
    </row>
    <row r="49" spans="1:5" x14ac:dyDescent="0.25">
      <c r="A49" t="s">
        <v>152</v>
      </c>
      <c r="B49" t="s">
        <v>210</v>
      </c>
      <c r="C49" t="s">
        <v>216</v>
      </c>
      <c r="D49" t="s">
        <v>217</v>
      </c>
      <c r="E49" t="s">
        <v>201</v>
      </c>
    </row>
    <row r="50" spans="1:5" x14ac:dyDescent="0.25">
      <c r="A50" t="s">
        <v>255</v>
      </c>
      <c r="B50" t="s">
        <v>256</v>
      </c>
      <c r="C50" t="s">
        <v>216</v>
      </c>
      <c r="D50" t="s">
        <v>217</v>
      </c>
      <c r="E50" t="s">
        <v>201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8D686-325A-4DFB-BA87-E2FBF344E195}">
  <dimension ref="A1:AB62"/>
  <sheetViews>
    <sheetView zoomScale="72" workbookViewId="0"/>
  </sheetViews>
  <sheetFormatPr defaultRowHeight="15" x14ac:dyDescent="0.25"/>
  <cols>
    <col min="1" max="1" width="18.85546875" bestFit="1" customWidth="1"/>
    <col min="2" max="2" width="23.140625" bestFit="1" customWidth="1"/>
    <col min="3" max="3" width="15.42578125" bestFit="1" customWidth="1"/>
    <col min="4" max="4" width="13" bestFit="1" customWidth="1"/>
    <col min="5" max="5" width="13.5703125" bestFit="1" customWidth="1"/>
    <col min="6" max="6" width="12.28515625" bestFit="1" customWidth="1"/>
    <col min="7" max="7" width="16.42578125" bestFit="1" customWidth="1"/>
    <col min="11" max="11" width="18.85546875" bestFit="1" customWidth="1"/>
    <col min="12" max="12" width="30.5703125" bestFit="1" customWidth="1"/>
    <col min="13" max="13" width="21.140625" bestFit="1" customWidth="1"/>
    <col min="17" max="17" width="18.85546875" bestFit="1" customWidth="1"/>
    <col min="18" max="18" width="18.5703125" bestFit="1" customWidth="1"/>
    <col min="19" max="19" width="2.7109375" customWidth="1"/>
    <col min="20" max="20" width="26.28515625" bestFit="1" customWidth="1"/>
    <col min="21" max="21" width="5.7109375" customWidth="1"/>
    <col min="22" max="22" width="32.7109375" bestFit="1" customWidth="1"/>
    <col min="23" max="23" width="20.28515625" bestFit="1" customWidth="1"/>
    <col min="24" max="24" width="19.85546875" bestFit="1" customWidth="1"/>
    <col min="25" max="26" width="18.85546875" bestFit="1" customWidth="1"/>
    <col min="27" max="27" width="28.140625" bestFit="1" customWidth="1"/>
    <col min="29" max="29" width="24.140625" bestFit="1" customWidth="1"/>
  </cols>
  <sheetData>
    <row r="1" spans="1:28" ht="15.75" thickBot="1" x14ac:dyDescent="0.3">
      <c r="R1" s="50" t="s">
        <v>337</v>
      </c>
      <c r="S1" s="50"/>
      <c r="T1" s="50"/>
      <c r="U1" s="50"/>
      <c r="V1" s="50"/>
      <c r="W1" s="50"/>
      <c r="X1" s="50"/>
      <c r="Y1" s="50"/>
      <c r="Z1" s="50"/>
      <c r="AA1" s="50"/>
      <c r="AB1" s="50"/>
    </row>
    <row r="2" spans="1:28" ht="15.75" thickBot="1" x14ac:dyDescent="0.3">
      <c r="A2" s="45" t="s">
        <v>318</v>
      </c>
      <c r="B2" s="46"/>
      <c r="C2" s="46"/>
      <c r="D2" s="46"/>
      <c r="E2" s="46"/>
      <c r="F2" s="46"/>
      <c r="G2" s="46"/>
      <c r="H2" s="3"/>
      <c r="J2" s="2"/>
      <c r="K2" s="46" t="s">
        <v>321</v>
      </c>
      <c r="L2" s="46"/>
      <c r="M2" s="3"/>
      <c r="R2" s="2"/>
      <c r="S2" s="17"/>
      <c r="T2" s="17"/>
      <c r="U2" s="17"/>
      <c r="V2" s="17"/>
      <c r="W2" s="17"/>
      <c r="X2" s="17"/>
      <c r="Y2" s="17"/>
      <c r="Z2" s="17"/>
      <c r="AA2" s="17"/>
      <c r="AB2" s="3"/>
    </row>
    <row r="3" spans="1:28" ht="15.75" thickBot="1" x14ac:dyDescent="0.3">
      <c r="A3" s="11" t="s">
        <v>317</v>
      </c>
      <c r="B3" s="11" t="s">
        <v>316</v>
      </c>
      <c r="C3" s="18"/>
      <c r="D3" s="19"/>
      <c r="E3" s="19"/>
      <c r="F3" s="19"/>
      <c r="G3" s="20"/>
      <c r="H3" s="6"/>
      <c r="J3" s="4"/>
      <c r="K3" s="11" t="s">
        <v>320</v>
      </c>
      <c r="L3" s="16" t="s">
        <v>319</v>
      </c>
      <c r="M3" s="6"/>
      <c r="R3" s="16" t="s">
        <v>334</v>
      </c>
      <c r="T3" s="16" t="s">
        <v>336</v>
      </c>
      <c r="V3" s="44" t="s">
        <v>351</v>
      </c>
      <c r="Y3" s="11" t="s">
        <v>314</v>
      </c>
      <c r="Z3" s="16" t="s">
        <v>317</v>
      </c>
      <c r="AB3" s="6"/>
    </row>
    <row r="4" spans="1:28" ht="15.75" thickBot="1" x14ac:dyDescent="0.3">
      <c r="A4" s="11" t="s">
        <v>314</v>
      </c>
      <c r="B4" s="18" t="s">
        <v>280</v>
      </c>
      <c r="C4" s="19" t="s">
        <v>262</v>
      </c>
      <c r="D4" s="19" t="s">
        <v>273</v>
      </c>
      <c r="E4" s="19" t="s">
        <v>268</v>
      </c>
      <c r="F4" s="20" t="s">
        <v>265</v>
      </c>
      <c r="G4" s="16" t="s">
        <v>315</v>
      </c>
      <c r="H4" s="6"/>
      <c r="J4" s="4"/>
      <c r="K4" s="12" t="s">
        <v>18</v>
      </c>
      <c r="L4" s="39">
        <v>30</v>
      </c>
      <c r="M4" s="6"/>
      <c r="R4" s="16">
        <v>35258</v>
      </c>
      <c r="T4" s="28">
        <v>0.3235294117647059</v>
      </c>
      <c r="V4" s="43">
        <v>352.58</v>
      </c>
      <c r="Y4" s="12" t="s">
        <v>262</v>
      </c>
      <c r="Z4" s="39">
        <v>15209</v>
      </c>
      <c r="AB4" s="6"/>
    </row>
    <row r="5" spans="1:28" x14ac:dyDescent="0.25">
      <c r="A5" s="12" t="s">
        <v>45</v>
      </c>
      <c r="B5" s="31">
        <v>84</v>
      </c>
      <c r="C5" s="32">
        <v>2662</v>
      </c>
      <c r="D5" s="32">
        <v>210</v>
      </c>
      <c r="E5" s="32">
        <v>2063</v>
      </c>
      <c r="F5" s="32">
        <v>437</v>
      </c>
      <c r="G5" s="33">
        <v>5456</v>
      </c>
      <c r="H5" s="6"/>
      <c r="J5" s="4"/>
      <c r="K5" s="13" t="s">
        <v>25</v>
      </c>
      <c r="L5" s="41">
        <v>34</v>
      </c>
      <c r="M5" s="6"/>
      <c r="R5" s="4"/>
      <c r="Y5" s="13" t="s">
        <v>268</v>
      </c>
      <c r="Z5" s="41">
        <v>10951</v>
      </c>
      <c r="AB5" s="6"/>
    </row>
    <row r="6" spans="1:28" ht="15.75" thickBot="1" x14ac:dyDescent="0.3">
      <c r="A6" s="13" t="s">
        <v>23</v>
      </c>
      <c r="B6" s="34">
        <v>394</v>
      </c>
      <c r="C6" s="30">
        <v>365</v>
      </c>
      <c r="D6" s="30">
        <v>711</v>
      </c>
      <c r="E6" s="30">
        <v>741</v>
      </c>
      <c r="F6" s="30">
        <v>1424</v>
      </c>
      <c r="G6" s="35">
        <v>3635</v>
      </c>
      <c r="H6" s="6"/>
      <c r="J6" s="4"/>
      <c r="K6" s="14" t="s">
        <v>29</v>
      </c>
      <c r="L6" s="41">
        <v>36</v>
      </c>
      <c r="M6" s="6"/>
      <c r="R6" s="4"/>
      <c r="V6" s="30">
        <f>GETPIVOTDATA("Total Amount",$V$3)</f>
        <v>352.58</v>
      </c>
      <c r="Y6" s="13" t="s">
        <v>273</v>
      </c>
      <c r="Z6" s="41">
        <v>3872</v>
      </c>
      <c r="AB6" s="6"/>
    </row>
    <row r="7" spans="1:28" ht="15.75" thickBot="1" x14ac:dyDescent="0.3">
      <c r="A7" s="13" t="s">
        <v>16</v>
      </c>
      <c r="B7" s="34">
        <v>464</v>
      </c>
      <c r="C7" s="30">
        <v>6522</v>
      </c>
      <c r="D7" s="30">
        <v>788</v>
      </c>
      <c r="E7" s="30">
        <v>2131</v>
      </c>
      <c r="F7" s="30">
        <v>586</v>
      </c>
      <c r="G7" s="35">
        <v>10491</v>
      </c>
      <c r="H7" s="6"/>
      <c r="J7" s="4"/>
      <c r="K7" s="15" t="s">
        <v>315</v>
      </c>
      <c r="L7" s="40">
        <v>100</v>
      </c>
      <c r="M7" s="6"/>
      <c r="R7" s="34">
        <f>GETPIVOTDATA("Total Amount",$R$3)</f>
        <v>35258</v>
      </c>
      <c r="T7" s="42">
        <f>GETPIVOTDATA("Field1",$T$3)</f>
        <v>0.3235294117647059</v>
      </c>
      <c r="Y7" s="13" t="s">
        <v>265</v>
      </c>
      <c r="Z7" s="41">
        <v>3511</v>
      </c>
      <c r="AB7" s="6"/>
    </row>
    <row r="8" spans="1:28" ht="15.75" thickBot="1" x14ac:dyDescent="0.3">
      <c r="A8" s="13" t="s">
        <v>28</v>
      </c>
      <c r="B8" s="34">
        <v>423</v>
      </c>
      <c r="C8" s="30">
        <v>3938</v>
      </c>
      <c r="D8" s="30">
        <v>1032</v>
      </c>
      <c r="E8" s="30">
        <v>1881</v>
      </c>
      <c r="F8" s="30">
        <v>43</v>
      </c>
      <c r="G8" s="35">
        <v>7317</v>
      </c>
      <c r="H8" s="6"/>
      <c r="J8" s="8"/>
      <c r="K8" s="9"/>
      <c r="L8" s="9"/>
      <c r="M8" s="10"/>
      <c r="R8" s="4"/>
      <c r="Y8" s="14" t="s">
        <v>280</v>
      </c>
      <c r="Z8" s="41">
        <v>1715</v>
      </c>
      <c r="AB8" s="6"/>
    </row>
    <row r="9" spans="1:28" ht="15.75" thickBot="1" x14ac:dyDescent="0.3">
      <c r="A9" s="14" t="s">
        <v>50</v>
      </c>
      <c r="B9" s="34">
        <v>350</v>
      </c>
      <c r="C9" s="30">
        <v>1722</v>
      </c>
      <c r="D9" s="30">
        <v>1131</v>
      </c>
      <c r="E9" s="30">
        <v>4135</v>
      </c>
      <c r="F9" s="30">
        <v>1021</v>
      </c>
      <c r="G9" s="35">
        <v>8359</v>
      </c>
      <c r="H9" s="6"/>
      <c r="R9" s="8"/>
      <c r="S9" s="9"/>
      <c r="T9" s="9"/>
      <c r="U9" s="9"/>
      <c r="V9" s="9"/>
      <c r="W9" s="9"/>
      <c r="X9" s="9"/>
      <c r="Y9" s="15" t="s">
        <v>315</v>
      </c>
      <c r="Z9" s="40">
        <v>35258</v>
      </c>
      <c r="AA9" s="9"/>
      <c r="AB9" s="10"/>
    </row>
    <row r="10" spans="1:28" ht="15.75" thickBot="1" x14ac:dyDescent="0.3">
      <c r="A10" s="15" t="s">
        <v>315</v>
      </c>
      <c r="B10" s="36">
        <v>1715</v>
      </c>
      <c r="C10" s="37">
        <v>15209</v>
      </c>
      <c r="D10" s="37">
        <v>3872</v>
      </c>
      <c r="E10" s="37">
        <v>10951</v>
      </c>
      <c r="F10" s="37">
        <v>3511</v>
      </c>
      <c r="G10" s="38">
        <v>35258</v>
      </c>
      <c r="H10" s="6"/>
    </row>
    <row r="11" spans="1:28" ht="15.75" thickBot="1" x14ac:dyDescent="0.3">
      <c r="A11" s="8"/>
      <c r="B11" s="9"/>
      <c r="C11" s="9"/>
      <c r="D11" s="9"/>
      <c r="E11" s="9"/>
      <c r="F11" s="9"/>
      <c r="G11" s="9"/>
      <c r="H11" s="10"/>
    </row>
    <row r="13" spans="1:28" ht="15.75" thickBot="1" x14ac:dyDescent="0.3"/>
    <row r="14" spans="1:28" x14ac:dyDescent="0.25">
      <c r="J14" s="2"/>
      <c r="K14" s="17"/>
      <c r="L14" s="17"/>
      <c r="M14" s="17"/>
      <c r="N14" s="3"/>
    </row>
    <row r="15" spans="1:28" x14ac:dyDescent="0.25">
      <c r="J15" s="47" t="s">
        <v>323</v>
      </c>
      <c r="K15" s="48"/>
      <c r="L15" s="48"/>
      <c r="M15" s="48"/>
      <c r="N15" s="49"/>
    </row>
    <row r="16" spans="1:28" x14ac:dyDescent="0.25">
      <c r="A16" t="s">
        <v>322</v>
      </c>
      <c r="J16" s="4"/>
      <c r="N16" s="6"/>
    </row>
    <row r="17" spans="1:27" x14ac:dyDescent="0.25">
      <c r="A17" s="5" t="s">
        <v>314</v>
      </c>
      <c r="B17" t="s">
        <v>338</v>
      </c>
      <c r="J17" s="4"/>
      <c r="N17" s="6"/>
      <c r="Z17" s="5" t="s">
        <v>314</v>
      </c>
      <c r="AA17" t="s">
        <v>317</v>
      </c>
    </row>
    <row r="18" spans="1:27" x14ac:dyDescent="0.25">
      <c r="A18" s="7" t="s">
        <v>18</v>
      </c>
      <c r="B18" s="29" t="e">
        <v>#DIV/0!</v>
      </c>
      <c r="J18" s="4"/>
      <c r="N18" s="6"/>
      <c r="Z18" s="7" t="s">
        <v>262</v>
      </c>
      <c r="AA18" s="30">
        <v>15209</v>
      </c>
    </row>
    <row r="19" spans="1:27" x14ac:dyDescent="0.25">
      <c r="A19" s="7" t="s">
        <v>25</v>
      </c>
      <c r="B19" s="29">
        <v>3.7647058823529411</v>
      </c>
      <c r="J19" s="4"/>
      <c r="N19" s="6"/>
      <c r="Z19" s="7" t="s">
        <v>268</v>
      </c>
      <c r="AA19" s="30">
        <v>10951</v>
      </c>
    </row>
    <row r="20" spans="1:27" x14ac:dyDescent="0.25">
      <c r="A20" s="7" t="s">
        <v>29</v>
      </c>
      <c r="B20" s="29" t="e">
        <v>#DIV/0!</v>
      </c>
      <c r="J20" s="4"/>
      <c r="N20" s="6"/>
      <c r="Z20" s="7" t="s">
        <v>273</v>
      </c>
      <c r="AA20" s="30">
        <v>3872</v>
      </c>
    </row>
    <row r="21" spans="1:27" x14ac:dyDescent="0.25">
      <c r="A21" s="7" t="s">
        <v>315</v>
      </c>
      <c r="B21">
        <v>3.7647058823529411</v>
      </c>
      <c r="J21" s="4"/>
      <c r="N21" s="6"/>
      <c r="Z21" s="7" t="s">
        <v>265</v>
      </c>
      <c r="AA21" s="30">
        <v>3511</v>
      </c>
    </row>
    <row r="22" spans="1:27" x14ac:dyDescent="0.25">
      <c r="J22" s="4"/>
      <c r="N22" s="6"/>
      <c r="Z22" s="7" t="s">
        <v>280</v>
      </c>
      <c r="AA22" s="30">
        <v>1715</v>
      </c>
    </row>
    <row r="23" spans="1:27" x14ac:dyDescent="0.25">
      <c r="J23" s="4"/>
      <c r="N23" s="6"/>
      <c r="Z23" s="7" t="s">
        <v>315</v>
      </c>
      <c r="AA23" s="30">
        <v>35258</v>
      </c>
    </row>
    <row r="24" spans="1:27" x14ac:dyDescent="0.25">
      <c r="J24" s="4"/>
      <c r="N24" s="6"/>
    </row>
    <row r="25" spans="1:27" x14ac:dyDescent="0.25">
      <c r="J25" s="4"/>
      <c r="N25" s="6"/>
    </row>
    <row r="26" spans="1:27" ht="15.75" thickBot="1" x14ac:dyDescent="0.3">
      <c r="J26" s="8"/>
      <c r="K26" s="9"/>
      <c r="L26" s="9"/>
      <c r="M26" s="9"/>
      <c r="N26" s="10"/>
    </row>
    <row r="31" spans="1:27" ht="15.75" thickBot="1" x14ac:dyDescent="0.3"/>
    <row r="32" spans="1:27" ht="15.75" thickBot="1" x14ac:dyDescent="0.3">
      <c r="A32" s="2"/>
      <c r="B32" s="17"/>
      <c r="C32" s="17"/>
      <c r="D32" s="17"/>
      <c r="E32" s="17"/>
      <c r="F32" s="3"/>
      <c r="J32" s="26" t="s">
        <v>333</v>
      </c>
      <c r="K32" s="17"/>
      <c r="L32" s="17"/>
      <c r="M32" s="17"/>
      <c r="N32" s="17"/>
      <c r="O32" s="17"/>
      <c r="P32" s="3"/>
    </row>
    <row r="33" spans="1:16" ht="15.75" thickBot="1" x14ac:dyDescent="0.3">
      <c r="A33" s="21" t="s">
        <v>330</v>
      </c>
      <c r="B33" s="22"/>
      <c r="C33" s="22"/>
      <c r="D33" s="22"/>
      <c r="E33" s="22"/>
      <c r="F33" s="6"/>
      <c r="J33" s="4"/>
      <c r="K33" s="11" t="s">
        <v>314</v>
      </c>
      <c r="L33" s="16" t="s">
        <v>332</v>
      </c>
      <c r="P33" s="6"/>
    </row>
    <row r="34" spans="1:16" ht="15.75" thickBot="1" x14ac:dyDescent="0.3">
      <c r="A34" s="11" t="s">
        <v>314</v>
      </c>
      <c r="B34" s="16" t="s">
        <v>329</v>
      </c>
      <c r="F34" s="6"/>
      <c r="J34" s="4"/>
      <c r="K34" s="12" t="s">
        <v>18</v>
      </c>
      <c r="L34" s="39">
        <v>0</v>
      </c>
      <c r="P34" s="6"/>
    </row>
    <row r="35" spans="1:16" x14ac:dyDescent="0.25">
      <c r="A35" s="12" t="s">
        <v>45</v>
      </c>
      <c r="B35" s="23">
        <v>0.05</v>
      </c>
      <c r="F35" s="6"/>
      <c r="J35" s="4"/>
      <c r="K35" s="13" t="s">
        <v>25</v>
      </c>
      <c r="L35" s="41">
        <v>13656</v>
      </c>
      <c r="P35" s="6"/>
    </row>
    <row r="36" spans="1:16" ht="15.75" thickBot="1" x14ac:dyDescent="0.3">
      <c r="A36" s="13" t="s">
        <v>23</v>
      </c>
      <c r="B36" s="24">
        <v>0.03</v>
      </c>
      <c r="F36" s="6"/>
      <c r="J36" s="4"/>
      <c r="K36" s="14" t="s">
        <v>29</v>
      </c>
      <c r="L36" s="41">
        <v>0</v>
      </c>
      <c r="P36" s="6"/>
    </row>
    <row r="37" spans="1:16" ht="15.75" thickBot="1" x14ac:dyDescent="0.3">
      <c r="A37" s="13" t="s">
        <v>16</v>
      </c>
      <c r="B37" s="24">
        <v>0.1</v>
      </c>
      <c r="F37" s="6"/>
      <c r="J37" s="4"/>
      <c r="K37" s="15" t="s">
        <v>315</v>
      </c>
      <c r="L37" s="40">
        <v>13656</v>
      </c>
      <c r="P37" s="6"/>
    </row>
    <row r="38" spans="1:16" x14ac:dyDescent="0.25">
      <c r="A38" s="13" t="s">
        <v>28</v>
      </c>
      <c r="B38" s="24">
        <v>0.04</v>
      </c>
      <c r="F38" s="6"/>
      <c r="J38" s="4"/>
      <c r="P38" s="6"/>
    </row>
    <row r="39" spans="1:16" ht="15.75" thickBot="1" x14ac:dyDescent="0.3">
      <c r="A39" s="14" t="s">
        <v>50</v>
      </c>
      <c r="B39" s="24">
        <v>0.08</v>
      </c>
      <c r="F39" s="6"/>
      <c r="J39" s="8"/>
      <c r="K39" s="9"/>
      <c r="L39" s="9"/>
      <c r="M39" s="9"/>
      <c r="N39" s="9"/>
      <c r="O39" s="9"/>
      <c r="P39" s="10"/>
    </row>
    <row r="40" spans="1:16" ht="15.75" thickBot="1" x14ac:dyDescent="0.3">
      <c r="A40" s="15" t="s">
        <v>315</v>
      </c>
      <c r="B40" s="25">
        <v>0.3</v>
      </c>
      <c r="F40" s="6"/>
    </row>
    <row r="41" spans="1:16" x14ac:dyDescent="0.25">
      <c r="A41" s="4"/>
      <c r="F41" s="6"/>
    </row>
    <row r="42" spans="1:16" ht="15.75" thickBot="1" x14ac:dyDescent="0.3">
      <c r="A42" s="8"/>
      <c r="B42" s="9"/>
      <c r="C42" s="9"/>
      <c r="D42" s="9"/>
      <c r="E42" s="9"/>
      <c r="F42" s="10"/>
    </row>
    <row r="49" spans="11:18" x14ac:dyDescent="0.25">
      <c r="K49" s="5" t="s">
        <v>314</v>
      </c>
      <c r="L49" t="s">
        <v>317</v>
      </c>
      <c r="Q49" s="5" t="s">
        <v>314</v>
      </c>
      <c r="R49" t="s">
        <v>317</v>
      </c>
    </row>
    <row r="50" spans="11:18" x14ac:dyDescent="0.25">
      <c r="K50" s="7" t="s">
        <v>339</v>
      </c>
      <c r="L50" s="30">
        <v>1099</v>
      </c>
      <c r="Q50" s="7" t="s">
        <v>41</v>
      </c>
      <c r="R50" s="30">
        <v>4719</v>
      </c>
    </row>
    <row r="51" spans="11:18" x14ac:dyDescent="0.25">
      <c r="K51" s="7" t="s">
        <v>340</v>
      </c>
      <c r="L51" s="30">
        <v>3712</v>
      </c>
      <c r="Q51" s="7" t="s">
        <v>17</v>
      </c>
      <c r="R51" s="30">
        <v>6144</v>
      </c>
    </row>
    <row r="52" spans="11:18" x14ac:dyDescent="0.25">
      <c r="K52" s="7" t="s">
        <v>348</v>
      </c>
      <c r="L52" s="30">
        <v>905</v>
      </c>
      <c r="Q52" s="7" t="s">
        <v>24</v>
      </c>
      <c r="R52" s="30">
        <v>9398</v>
      </c>
    </row>
    <row r="53" spans="11:18" x14ac:dyDescent="0.25">
      <c r="K53" s="7" t="s">
        <v>349</v>
      </c>
      <c r="L53" s="30">
        <v>2637</v>
      </c>
      <c r="Q53" s="7" t="s">
        <v>46</v>
      </c>
      <c r="R53" s="30">
        <v>8348</v>
      </c>
    </row>
    <row r="54" spans="11:18" x14ac:dyDescent="0.25">
      <c r="K54" s="7" t="s">
        <v>341</v>
      </c>
      <c r="L54" s="30">
        <v>4940</v>
      </c>
      <c r="Q54" s="7" t="s">
        <v>33</v>
      </c>
      <c r="R54" s="30">
        <v>6649</v>
      </c>
    </row>
    <row r="55" spans="11:18" x14ac:dyDescent="0.25">
      <c r="K55" s="7" t="s">
        <v>342</v>
      </c>
      <c r="L55" s="30">
        <v>2599</v>
      </c>
      <c r="Q55" s="7" t="s">
        <v>315</v>
      </c>
      <c r="R55" s="30">
        <v>35258</v>
      </c>
    </row>
    <row r="56" spans="11:18" x14ac:dyDescent="0.25">
      <c r="K56" s="7" t="s">
        <v>343</v>
      </c>
      <c r="L56" s="30">
        <v>3315</v>
      </c>
    </row>
    <row r="57" spans="11:18" x14ac:dyDescent="0.25">
      <c r="K57" s="7" t="s">
        <v>350</v>
      </c>
      <c r="L57" s="30">
        <v>782</v>
      </c>
    </row>
    <row r="58" spans="11:18" x14ac:dyDescent="0.25">
      <c r="K58" s="7" t="s">
        <v>344</v>
      </c>
      <c r="L58" s="30">
        <v>1570</v>
      </c>
    </row>
    <row r="59" spans="11:18" x14ac:dyDescent="0.25">
      <c r="K59" s="7" t="s">
        <v>345</v>
      </c>
      <c r="L59" s="30">
        <v>2920</v>
      </c>
    </row>
    <row r="60" spans="11:18" x14ac:dyDescent="0.25">
      <c r="K60" s="7" t="s">
        <v>346</v>
      </c>
      <c r="L60" s="30">
        <v>6312</v>
      </c>
    </row>
    <row r="61" spans="11:18" x14ac:dyDescent="0.25">
      <c r="K61" s="7" t="s">
        <v>347</v>
      </c>
      <c r="L61" s="30">
        <v>4467</v>
      </c>
    </row>
    <row r="62" spans="11:18" x14ac:dyDescent="0.25">
      <c r="K62" s="7" t="s">
        <v>315</v>
      </c>
      <c r="L62" s="30">
        <v>35258</v>
      </c>
    </row>
  </sheetData>
  <mergeCells count="4">
    <mergeCell ref="A2:G2"/>
    <mergeCell ref="K2:L2"/>
    <mergeCell ref="J15:N15"/>
    <mergeCell ref="R1:AB1"/>
  </mergeCells>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1B5BF-2E2C-4307-965D-A761C40CA681}">
  <dimension ref="A1"/>
  <sheetViews>
    <sheetView showGridLines="0" topLeftCell="B1" zoomScale="74" zoomScaleNormal="67" workbookViewId="0">
      <selection activeCell="AN23" sqref="AN23"/>
    </sheetView>
  </sheetViews>
  <sheetFormatPr defaultRowHeight="15" x14ac:dyDescent="0.25"/>
  <cols>
    <col min="1" max="16384" width="9.140625" style="2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D2943-BE64-4505-A0A1-C8245917873C}">
  <dimension ref="A1:V101"/>
  <sheetViews>
    <sheetView zoomScale="103" zoomScaleNormal="89" workbookViewId="0"/>
  </sheetViews>
  <sheetFormatPr defaultRowHeight="15" x14ac:dyDescent="0.25"/>
  <cols>
    <col min="1" max="1" width="10.7109375" bestFit="1" customWidth="1"/>
    <col min="2" max="2" width="13" style="1" bestFit="1" customWidth="1"/>
    <col min="3" max="3" width="15.42578125" style="1" bestFit="1" customWidth="1"/>
    <col min="4" max="4" width="13.7109375" style="1" customWidth="1"/>
    <col min="5" max="5" width="14.140625" customWidth="1"/>
    <col min="6" max="6" width="12.42578125" customWidth="1"/>
    <col min="7" max="7" width="9.42578125" customWidth="1"/>
    <col min="8" max="8" width="16.7109375" customWidth="1"/>
    <col min="9" max="9" width="11" customWidth="1"/>
    <col min="10" max="10" width="15.42578125" customWidth="1"/>
    <col min="11" max="11" width="18.85546875" customWidth="1"/>
    <col min="12" max="12" width="16.7109375" customWidth="1"/>
    <col min="13" max="13" width="20.42578125" customWidth="1"/>
    <col min="14" max="15" width="9.140625" customWidth="1"/>
    <col min="16" max="16" width="17.28515625" customWidth="1"/>
    <col min="17" max="17" width="18" customWidth="1"/>
    <col min="19" max="19" width="16" bestFit="1" customWidth="1"/>
    <col min="22" max="22" width="15" bestFit="1" customWidth="1"/>
  </cols>
  <sheetData>
    <row r="1" spans="1:22" x14ac:dyDescent="0.25">
      <c r="A1" t="s">
        <v>0</v>
      </c>
      <c r="B1" s="1" t="s">
        <v>1</v>
      </c>
      <c r="C1" s="1" t="s">
        <v>2</v>
      </c>
      <c r="D1" s="1" t="s">
        <v>3</v>
      </c>
      <c r="E1" t="s">
        <v>4</v>
      </c>
      <c r="F1" t="s">
        <v>5</v>
      </c>
      <c r="G1" t="s">
        <v>6</v>
      </c>
      <c r="H1" t="s">
        <v>7</v>
      </c>
      <c r="I1" t="s">
        <v>8</v>
      </c>
      <c r="J1" t="s">
        <v>9</v>
      </c>
      <c r="K1" t="s">
        <v>10</v>
      </c>
      <c r="L1" t="s">
        <v>11</v>
      </c>
      <c r="M1" t="s">
        <v>12</v>
      </c>
      <c r="N1" t="s">
        <v>311</v>
      </c>
      <c r="O1" t="s">
        <v>313</v>
      </c>
      <c r="P1" t="s">
        <v>326</v>
      </c>
      <c r="Q1" t="s">
        <v>324</v>
      </c>
      <c r="R1" t="s">
        <v>325</v>
      </c>
      <c r="S1" t="s">
        <v>327</v>
      </c>
      <c r="T1" t="s">
        <v>328</v>
      </c>
      <c r="U1" t="s">
        <v>331</v>
      </c>
      <c r="V1" t="s">
        <v>335</v>
      </c>
    </row>
    <row r="2" spans="1:22" x14ac:dyDescent="0.25">
      <c r="A2" t="s">
        <v>13</v>
      </c>
      <c r="B2" s="1">
        <v>45291</v>
      </c>
      <c r="D2" s="1">
        <v>45293</v>
      </c>
      <c r="E2" t="s">
        <v>14</v>
      </c>
      <c r="F2" t="s">
        <v>15</v>
      </c>
      <c r="G2" t="s">
        <v>16</v>
      </c>
      <c r="H2">
        <v>44</v>
      </c>
      <c r="I2">
        <v>1</v>
      </c>
      <c r="J2">
        <v>44</v>
      </c>
      <c r="K2" t="s">
        <v>17</v>
      </c>
      <c r="L2" t="s">
        <v>18</v>
      </c>
      <c r="M2" t="s">
        <v>19</v>
      </c>
      <c r="N2" t="str">
        <f>IF(OR(AmazonSales[[#This Row],[Delivery Status]] = "Cancelled",AmazonSales[[#This Row],[Cancel Date]] &lt;&gt; ""),"Cancelled","Completed")</f>
        <v>Cancelled</v>
      </c>
      <c r="O2" t="str">
        <f>_xlfn.XLOOKUP(AmazonSales[[#This Row],[Product ID]],ProductMaster[Product ID],ProductMaster[Category],,,1)</f>
        <v>Home</v>
      </c>
      <c r="P2" t="str">
        <f>IF(AmazonSales[[#This Row],[Delivery Date]]="","",AmazonSales[[#This Row],[Delivery Date]]-AmazonSales[[#This Row],[Order Date]])</f>
        <v/>
      </c>
      <c r="Q2" t="str">
        <f>_xlfn.XLOOKUP(AmazonSales[[#This Row],[Customer ID]],CustomerMaster[Customer ID],CustomerMaster[Customer Name],"not_found",0,1)</f>
        <v>Zoe Mitchell</v>
      </c>
      <c r="R2" t="str">
        <f>IF(AmazonSales[[#This Row],[Delivery Date]] = "","",IF(AmazonSales[[#This Row],[Delivery Date]]-AmazonSales[[#This Row],[Order Date]] &lt;= 2,"Fast","Slow"))</f>
        <v/>
      </c>
      <c r="S2" t="str">
        <f>IF(AmazonSales[[#This Row],[Cancel Date]]&lt;&gt; "","cancelled","not_cancelled")</f>
        <v>cancelled</v>
      </c>
      <c r="T2">
        <f>IF(AmazonSales[[#This Row],[Cancel_orders]] = "cancelled",1,0)</f>
        <v>1</v>
      </c>
      <c r="U2">
        <f>IF(AmazonSales[[#This Row],[Delivery Status]] = "Delivered",AmazonSales[[#This Row],[Total Amount]],0)</f>
        <v>0</v>
      </c>
      <c r="V2">
        <f>IF(AmazonSales[[#This Row],[Delivery_Performance]] = "Fast",1,0)</f>
        <v>0</v>
      </c>
    </row>
    <row r="3" spans="1:22" x14ac:dyDescent="0.25">
      <c r="A3" t="s">
        <v>20</v>
      </c>
      <c r="B3" s="1">
        <v>44979</v>
      </c>
      <c r="C3" s="1">
        <v>44981</v>
      </c>
      <c r="E3" t="s">
        <v>21</v>
      </c>
      <c r="F3" t="s">
        <v>22</v>
      </c>
      <c r="G3" t="s">
        <v>23</v>
      </c>
      <c r="H3">
        <v>96</v>
      </c>
      <c r="I3">
        <v>4</v>
      </c>
      <c r="J3">
        <v>384</v>
      </c>
      <c r="K3" t="s">
        <v>24</v>
      </c>
      <c r="L3" t="s">
        <v>25</v>
      </c>
      <c r="M3" t="s">
        <v>19</v>
      </c>
      <c r="N3" t="str">
        <f>IF(OR(AmazonSales[[#This Row],[Delivery Status]] = "Cancelled",AmazonSales[[#This Row],[Cancel Date]] &lt;&gt; ""),"Cancelled","Completed")</f>
        <v>Completed</v>
      </c>
      <c r="O3" t="str">
        <f>_xlfn.XLOOKUP(AmazonSales[[#This Row],[Product ID]],ProductMaster[Product ID],ProductMaster[Category],,,1)</f>
        <v>Toys</v>
      </c>
      <c r="P3">
        <f>IF(AmazonSales[[#This Row],[Delivery Date]]="","",AmazonSales[[#This Row],[Delivery Date]]-AmazonSales[[#This Row],[Order Date]])</f>
        <v>2</v>
      </c>
      <c r="Q3" t="str">
        <f>_xlfn.XLOOKUP(AmazonSales[[#This Row],[Customer ID]],CustomerMaster[Customer ID],CustomerMaster[Customer Name],"not_found",0,1)</f>
        <v>Ava White</v>
      </c>
      <c r="R3" t="str">
        <f>IF(AmazonSales[[#This Row],[Delivery Date]] = "","",IF(AmazonSales[[#This Row],[Delivery Date]]-AmazonSales[[#This Row],[Order Date]] &lt;= 2,"Fast","Slow"))</f>
        <v>Fast</v>
      </c>
      <c r="S3" t="str">
        <f>IF(AmazonSales[[#This Row],[Cancel Date]]&lt;&gt; "","cancelled","not_cancelled")</f>
        <v>not_cancelled</v>
      </c>
      <c r="T3">
        <f>IF(AmazonSales[[#This Row],[Cancel_orders]] = "cancelled",1,0)</f>
        <v>0</v>
      </c>
      <c r="U3">
        <f>IF(AmazonSales[[#This Row],[Delivery Status]] = "Delivered",AmazonSales[[#This Row],[Total Amount]],0)</f>
        <v>384</v>
      </c>
      <c r="V3">
        <f>IF(AmazonSales[[#This Row],[Delivery_Performance]] = "Fast",1,0)</f>
        <v>1</v>
      </c>
    </row>
    <row r="4" spans="1:22" x14ac:dyDescent="0.25">
      <c r="A4" t="s">
        <v>26</v>
      </c>
      <c r="B4" s="1">
        <v>45210</v>
      </c>
      <c r="E4" t="s">
        <v>14</v>
      </c>
      <c r="F4" t="s">
        <v>27</v>
      </c>
      <c r="G4" t="s">
        <v>28</v>
      </c>
      <c r="H4">
        <v>194</v>
      </c>
      <c r="I4">
        <v>4</v>
      </c>
      <c r="J4">
        <v>776</v>
      </c>
      <c r="K4" t="s">
        <v>24</v>
      </c>
      <c r="L4" t="s">
        <v>29</v>
      </c>
      <c r="M4" t="s">
        <v>30</v>
      </c>
      <c r="N4" t="str">
        <f>IF(OR(AmazonSales[[#This Row],[Delivery Status]] = "Cancelled",AmazonSales[[#This Row],[Cancel Date]] &lt;&gt; ""),"Cancelled","Completed")</f>
        <v>Completed</v>
      </c>
      <c r="O4" t="str">
        <f>_xlfn.XLOOKUP(AmazonSales[[#This Row],[Product ID]],ProductMaster[Product ID],ProductMaster[Category],,,1)</f>
        <v>Home</v>
      </c>
      <c r="P4" t="str">
        <f>IF(AmazonSales[[#This Row],[Delivery Date]]="","",AmazonSales[[#This Row],[Delivery Date]]-AmazonSales[[#This Row],[Order Date]])</f>
        <v/>
      </c>
      <c r="Q4" t="str">
        <f>_xlfn.XLOOKUP(AmazonSales[[#This Row],[Customer ID]],CustomerMaster[Customer ID],CustomerMaster[Customer Name],"not_found",0,1)</f>
        <v>Zoe Mitchell</v>
      </c>
      <c r="R4" t="str">
        <f>IF(AmazonSales[[#This Row],[Delivery Date]] = "","",IF(AmazonSales[[#This Row],[Delivery Date]]-AmazonSales[[#This Row],[Order Date]] &lt;= 2,"Fast","Slow"))</f>
        <v/>
      </c>
      <c r="S4" t="str">
        <f>IF(AmazonSales[[#This Row],[Cancel Date]]&lt;&gt; "","cancelled","not_cancelled")</f>
        <v>not_cancelled</v>
      </c>
      <c r="T4">
        <f>IF(AmazonSales[[#This Row],[Cancel_orders]] = "cancelled",1,0)</f>
        <v>0</v>
      </c>
      <c r="U4">
        <f>IF(AmazonSales[[#This Row],[Delivery Status]] = "Delivered",AmazonSales[[#This Row],[Total Amount]],0)</f>
        <v>0</v>
      </c>
      <c r="V4">
        <f>IF(AmazonSales[[#This Row],[Delivery_Performance]] = "Fast",1,0)</f>
        <v>0</v>
      </c>
    </row>
    <row r="5" spans="1:22" x14ac:dyDescent="0.25">
      <c r="A5" t="s">
        <v>31</v>
      </c>
      <c r="B5" s="1">
        <v>45051</v>
      </c>
      <c r="D5" s="1">
        <v>45057</v>
      </c>
      <c r="E5" t="s">
        <v>32</v>
      </c>
      <c r="F5" t="s">
        <v>27</v>
      </c>
      <c r="G5" t="s">
        <v>16</v>
      </c>
      <c r="H5">
        <v>196</v>
      </c>
      <c r="I5">
        <v>3</v>
      </c>
      <c r="J5">
        <v>588</v>
      </c>
      <c r="K5" t="s">
        <v>33</v>
      </c>
      <c r="L5" t="s">
        <v>18</v>
      </c>
      <c r="M5" t="s">
        <v>34</v>
      </c>
      <c r="N5" t="str">
        <f>IF(OR(AmazonSales[[#This Row],[Delivery Status]] = "Cancelled",AmazonSales[[#This Row],[Cancel Date]] &lt;&gt; ""),"Cancelled","Completed")</f>
        <v>Cancelled</v>
      </c>
      <c r="O5" t="str">
        <f>_xlfn.XLOOKUP(AmazonSales[[#This Row],[Product ID]],ProductMaster[Product ID],ProductMaster[Category],,,1)</f>
        <v>Home</v>
      </c>
      <c r="P5" t="str">
        <f>IF(AmazonSales[[#This Row],[Delivery Date]]="","",AmazonSales[[#This Row],[Delivery Date]]-AmazonSales[[#This Row],[Order Date]])</f>
        <v/>
      </c>
      <c r="Q5" t="str">
        <f>_xlfn.XLOOKUP(AmazonSales[[#This Row],[Customer ID]],CustomerMaster[Customer ID],CustomerMaster[Customer Name],"not_found",0,1)</f>
        <v>Grace Ward</v>
      </c>
      <c r="R5" t="str">
        <f>IF(AmazonSales[[#This Row],[Delivery Date]] = "","",IF(AmazonSales[[#This Row],[Delivery Date]]-AmazonSales[[#This Row],[Order Date]] &lt;= 2,"Fast","Slow"))</f>
        <v/>
      </c>
      <c r="S5" t="str">
        <f>IF(AmazonSales[[#This Row],[Cancel Date]]&lt;&gt; "","cancelled","not_cancelled")</f>
        <v>cancelled</v>
      </c>
      <c r="T5">
        <f>IF(AmazonSales[[#This Row],[Cancel_orders]] = "cancelled",1,0)</f>
        <v>1</v>
      </c>
      <c r="U5">
        <f>IF(AmazonSales[[#This Row],[Delivery Status]] = "Delivered",AmazonSales[[#This Row],[Total Amount]],0)</f>
        <v>0</v>
      </c>
      <c r="V5">
        <f>IF(AmazonSales[[#This Row],[Delivery_Performance]] = "Fast",1,0)</f>
        <v>0</v>
      </c>
    </row>
    <row r="6" spans="1:22" x14ac:dyDescent="0.25">
      <c r="A6" t="s">
        <v>35</v>
      </c>
      <c r="B6" s="1">
        <v>44959</v>
      </c>
      <c r="C6" s="1">
        <v>44962</v>
      </c>
      <c r="E6" t="s">
        <v>36</v>
      </c>
      <c r="F6" t="s">
        <v>37</v>
      </c>
      <c r="G6" t="s">
        <v>16</v>
      </c>
      <c r="H6">
        <v>59</v>
      </c>
      <c r="I6">
        <v>1</v>
      </c>
      <c r="J6">
        <v>59</v>
      </c>
      <c r="K6" t="s">
        <v>33</v>
      </c>
      <c r="L6" t="s">
        <v>25</v>
      </c>
      <c r="M6" t="s">
        <v>38</v>
      </c>
      <c r="N6" t="str">
        <f>IF(OR(AmazonSales[[#This Row],[Delivery Status]] = "Cancelled",AmazonSales[[#This Row],[Cancel Date]] &lt;&gt; ""),"Cancelled","Completed")</f>
        <v>Completed</v>
      </c>
      <c r="O6" t="str">
        <f>_xlfn.XLOOKUP(AmazonSales[[#This Row],[Product ID]],ProductMaster[Product ID],ProductMaster[Category],,,1)</f>
        <v>Fashion</v>
      </c>
      <c r="P6">
        <f>IF(AmazonSales[[#This Row],[Delivery Date]]="","",AmazonSales[[#This Row],[Delivery Date]]-AmazonSales[[#This Row],[Order Date]])</f>
        <v>3</v>
      </c>
      <c r="Q6" t="str">
        <f>_xlfn.XLOOKUP(AmazonSales[[#This Row],[Customer ID]],CustomerMaster[Customer ID],CustomerMaster[Customer Name],"not_found",0,1)</f>
        <v>Hazel Brooks</v>
      </c>
      <c r="R6" t="str">
        <f>IF(AmazonSales[[#This Row],[Delivery Date]] = "","",IF(AmazonSales[[#This Row],[Delivery Date]]-AmazonSales[[#This Row],[Order Date]] &lt;= 2,"Fast","Slow"))</f>
        <v>Slow</v>
      </c>
      <c r="S6" t="str">
        <f>IF(AmazonSales[[#This Row],[Cancel Date]]&lt;&gt; "","cancelled","not_cancelled")</f>
        <v>not_cancelled</v>
      </c>
      <c r="T6">
        <f>IF(AmazonSales[[#This Row],[Cancel_orders]] = "cancelled",1,0)</f>
        <v>0</v>
      </c>
      <c r="U6">
        <f>IF(AmazonSales[[#This Row],[Delivery Status]] = "Delivered",AmazonSales[[#This Row],[Total Amount]],0)</f>
        <v>59</v>
      </c>
      <c r="V6">
        <f>IF(AmazonSales[[#This Row],[Delivery_Performance]] = "Fast",1,0)</f>
        <v>0</v>
      </c>
    </row>
    <row r="7" spans="1:22" x14ac:dyDescent="0.25">
      <c r="A7" t="s">
        <v>39</v>
      </c>
      <c r="B7" s="1">
        <v>45231</v>
      </c>
      <c r="D7" s="1">
        <v>45232</v>
      </c>
      <c r="E7" t="s">
        <v>40</v>
      </c>
      <c r="F7" t="s">
        <v>37</v>
      </c>
      <c r="G7" t="s">
        <v>16</v>
      </c>
      <c r="H7">
        <v>58</v>
      </c>
      <c r="I7">
        <v>4</v>
      </c>
      <c r="J7">
        <v>232</v>
      </c>
      <c r="K7" t="s">
        <v>41</v>
      </c>
      <c r="L7" t="s">
        <v>18</v>
      </c>
      <c r="M7" t="s">
        <v>19</v>
      </c>
      <c r="N7" t="str">
        <f>IF(OR(AmazonSales[[#This Row],[Delivery Status]] = "Cancelled",AmazonSales[[#This Row],[Cancel Date]] &lt;&gt; ""),"Cancelled","Completed")</f>
        <v>Cancelled</v>
      </c>
      <c r="O7" t="str">
        <f>_xlfn.XLOOKUP(AmazonSales[[#This Row],[Product ID]],ProductMaster[Product ID],ProductMaster[Category],,,1)</f>
        <v>Fashion</v>
      </c>
      <c r="P7" t="str">
        <f>IF(AmazonSales[[#This Row],[Delivery Date]]="","",AmazonSales[[#This Row],[Delivery Date]]-AmazonSales[[#This Row],[Order Date]])</f>
        <v/>
      </c>
      <c r="Q7" t="str">
        <f>_xlfn.XLOOKUP(AmazonSales[[#This Row],[Customer ID]],CustomerMaster[Customer ID],CustomerMaster[Customer Name],"not_found",0,1)</f>
        <v>Jackson Allen</v>
      </c>
      <c r="R7" t="str">
        <f>IF(AmazonSales[[#This Row],[Delivery Date]] = "","",IF(AmazonSales[[#This Row],[Delivery Date]]-AmazonSales[[#This Row],[Order Date]] &lt;= 2,"Fast","Slow"))</f>
        <v/>
      </c>
      <c r="S7" t="str">
        <f>IF(AmazonSales[[#This Row],[Cancel Date]]&lt;&gt; "","cancelled","not_cancelled")</f>
        <v>cancelled</v>
      </c>
      <c r="T7">
        <f>IF(AmazonSales[[#This Row],[Cancel_orders]] = "cancelled",1,0)</f>
        <v>1</v>
      </c>
      <c r="U7">
        <f>IF(AmazonSales[[#This Row],[Delivery Status]] = "Delivered",AmazonSales[[#This Row],[Total Amount]],0)</f>
        <v>0</v>
      </c>
      <c r="V7">
        <f>IF(AmazonSales[[#This Row],[Delivery_Performance]] = "Fast",1,0)</f>
        <v>0</v>
      </c>
    </row>
    <row r="8" spans="1:22" x14ac:dyDescent="0.25">
      <c r="A8" t="s">
        <v>42</v>
      </c>
      <c r="B8" s="1">
        <v>45152</v>
      </c>
      <c r="D8" s="1">
        <v>45156</v>
      </c>
      <c r="E8" t="s">
        <v>43</v>
      </c>
      <c r="F8" t="s">
        <v>44</v>
      </c>
      <c r="G8" t="s">
        <v>45</v>
      </c>
      <c r="H8">
        <v>105</v>
      </c>
      <c r="I8">
        <v>3</v>
      </c>
      <c r="J8">
        <v>315</v>
      </c>
      <c r="K8" t="s">
        <v>46</v>
      </c>
      <c r="L8" t="s">
        <v>18</v>
      </c>
      <c r="M8" t="s">
        <v>19</v>
      </c>
      <c r="N8" t="str">
        <f>IF(OR(AmazonSales[[#This Row],[Delivery Status]] = "Cancelled",AmazonSales[[#This Row],[Cancel Date]] &lt;&gt; ""),"Cancelled","Completed")</f>
        <v>Cancelled</v>
      </c>
      <c r="O8" t="str">
        <f>_xlfn.XLOOKUP(AmazonSales[[#This Row],[Product ID]],ProductMaster[Product ID],ProductMaster[Category],,,1)</f>
        <v>Electronics</v>
      </c>
      <c r="P8" t="str">
        <f>IF(AmazonSales[[#This Row],[Delivery Date]]="","",AmazonSales[[#This Row],[Delivery Date]]-AmazonSales[[#This Row],[Order Date]])</f>
        <v/>
      </c>
      <c r="Q8" t="str">
        <f>_xlfn.XLOOKUP(AmazonSales[[#This Row],[Customer ID]],CustomerMaster[Customer ID],CustomerMaster[Customer Name],"not_found",0,1)</f>
        <v>Noah Wilson</v>
      </c>
      <c r="R8" t="str">
        <f>IF(AmazonSales[[#This Row],[Delivery Date]] = "","",IF(AmazonSales[[#This Row],[Delivery Date]]-AmazonSales[[#This Row],[Order Date]] &lt;= 2,"Fast","Slow"))</f>
        <v/>
      </c>
      <c r="S8" t="str">
        <f>IF(AmazonSales[[#This Row],[Cancel Date]]&lt;&gt; "","cancelled","not_cancelled")</f>
        <v>cancelled</v>
      </c>
      <c r="T8">
        <f>IF(AmazonSales[[#This Row],[Cancel_orders]] = "cancelled",1,0)</f>
        <v>1</v>
      </c>
      <c r="U8">
        <f>IF(AmazonSales[[#This Row],[Delivery Status]] = "Delivered",AmazonSales[[#This Row],[Total Amount]],0)</f>
        <v>0</v>
      </c>
      <c r="V8">
        <f>IF(AmazonSales[[#This Row],[Delivery_Performance]] = "Fast",1,0)</f>
        <v>0</v>
      </c>
    </row>
    <row r="9" spans="1:22" x14ac:dyDescent="0.25">
      <c r="A9" t="s">
        <v>47</v>
      </c>
      <c r="B9" s="1">
        <v>45017</v>
      </c>
      <c r="D9" s="1">
        <v>45022</v>
      </c>
      <c r="E9" t="s">
        <v>48</v>
      </c>
      <c r="F9" t="s">
        <v>49</v>
      </c>
      <c r="G9" t="s">
        <v>50</v>
      </c>
      <c r="H9">
        <v>37</v>
      </c>
      <c r="I9">
        <v>5</v>
      </c>
      <c r="J9">
        <v>185</v>
      </c>
      <c r="K9" t="s">
        <v>33</v>
      </c>
      <c r="L9" t="s">
        <v>18</v>
      </c>
      <c r="M9" t="s">
        <v>19</v>
      </c>
      <c r="N9" t="str">
        <f>IF(OR(AmazonSales[[#This Row],[Delivery Status]] = "Cancelled",AmazonSales[[#This Row],[Cancel Date]] &lt;&gt; ""),"Cancelled","Completed")</f>
        <v>Cancelled</v>
      </c>
      <c r="O9" t="str">
        <f>_xlfn.XLOOKUP(AmazonSales[[#This Row],[Product ID]],ProductMaster[Product ID],ProductMaster[Category],,,1)</f>
        <v>Home</v>
      </c>
      <c r="P9" t="str">
        <f>IF(AmazonSales[[#This Row],[Delivery Date]]="","",AmazonSales[[#This Row],[Delivery Date]]-AmazonSales[[#This Row],[Order Date]])</f>
        <v/>
      </c>
      <c r="Q9" t="str">
        <f>_xlfn.XLOOKUP(AmazonSales[[#This Row],[Customer ID]],CustomerMaster[Customer ID],CustomerMaster[Customer Name],"not_found",0,1)</f>
        <v>Ava Robinson</v>
      </c>
      <c r="R9" t="str">
        <f>IF(AmazonSales[[#This Row],[Delivery Date]] = "","",IF(AmazonSales[[#This Row],[Delivery Date]]-AmazonSales[[#This Row],[Order Date]] &lt;= 2,"Fast","Slow"))</f>
        <v/>
      </c>
      <c r="S9" t="str">
        <f>IF(AmazonSales[[#This Row],[Cancel Date]]&lt;&gt; "","cancelled","not_cancelled")</f>
        <v>cancelled</v>
      </c>
      <c r="T9">
        <f>IF(AmazonSales[[#This Row],[Cancel_orders]] = "cancelled",1,0)</f>
        <v>1</v>
      </c>
      <c r="U9">
        <f>IF(AmazonSales[[#This Row],[Delivery Status]] = "Delivered",AmazonSales[[#This Row],[Total Amount]],0)</f>
        <v>0</v>
      </c>
      <c r="V9">
        <f>IF(AmazonSales[[#This Row],[Delivery_Performance]] = "Fast",1,0)</f>
        <v>0</v>
      </c>
    </row>
    <row r="10" spans="1:22" x14ac:dyDescent="0.25">
      <c r="A10" t="s">
        <v>51</v>
      </c>
      <c r="B10" s="1">
        <v>45128</v>
      </c>
      <c r="E10" t="s">
        <v>52</v>
      </c>
      <c r="F10" t="s">
        <v>53</v>
      </c>
      <c r="G10" t="s">
        <v>45</v>
      </c>
      <c r="H10">
        <v>44</v>
      </c>
      <c r="I10">
        <v>2</v>
      </c>
      <c r="J10">
        <v>88</v>
      </c>
      <c r="K10" t="s">
        <v>24</v>
      </c>
      <c r="L10" t="s">
        <v>29</v>
      </c>
      <c r="M10" t="s">
        <v>38</v>
      </c>
      <c r="N10" t="str">
        <f>IF(OR(AmazonSales[[#This Row],[Delivery Status]] = "Cancelled",AmazonSales[[#This Row],[Cancel Date]] &lt;&gt; ""),"Cancelled","Completed")</f>
        <v>Completed</v>
      </c>
      <c r="O10" t="str">
        <f>_xlfn.XLOOKUP(AmazonSales[[#This Row],[Product ID]],ProductMaster[Product ID],ProductMaster[Category],,,1)</f>
        <v>Fashion</v>
      </c>
      <c r="P10" t="str">
        <f>IF(AmazonSales[[#This Row],[Delivery Date]]="","",AmazonSales[[#This Row],[Delivery Date]]-AmazonSales[[#This Row],[Order Date]])</f>
        <v/>
      </c>
      <c r="Q10" t="str">
        <f>_xlfn.XLOOKUP(AmazonSales[[#This Row],[Customer ID]],CustomerMaster[Customer ID],CustomerMaster[Customer Name],"not_found",0,1)</f>
        <v>Olivia Martinez</v>
      </c>
      <c r="R10" t="str">
        <f>IF(AmazonSales[[#This Row],[Delivery Date]] = "","",IF(AmazonSales[[#This Row],[Delivery Date]]-AmazonSales[[#This Row],[Order Date]] &lt;= 2,"Fast","Slow"))</f>
        <v/>
      </c>
      <c r="S10" t="str">
        <f>IF(AmazonSales[[#This Row],[Cancel Date]]&lt;&gt; "","cancelled","not_cancelled")</f>
        <v>not_cancelled</v>
      </c>
      <c r="T10">
        <f>IF(AmazonSales[[#This Row],[Cancel_orders]] = "cancelled",1,0)</f>
        <v>0</v>
      </c>
      <c r="U10">
        <f>IF(AmazonSales[[#This Row],[Delivery Status]] = "Delivered",AmazonSales[[#This Row],[Total Amount]],0)</f>
        <v>0</v>
      </c>
      <c r="V10">
        <f>IF(AmazonSales[[#This Row],[Delivery_Performance]] = "Fast",1,0)</f>
        <v>0</v>
      </c>
    </row>
    <row r="11" spans="1:22" x14ac:dyDescent="0.25">
      <c r="A11" t="s">
        <v>54</v>
      </c>
      <c r="B11" s="1">
        <v>45289</v>
      </c>
      <c r="E11" t="s">
        <v>48</v>
      </c>
      <c r="F11" t="s">
        <v>55</v>
      </c>
      <c r="G11" t="s">
        <v>28</v>
      </c>
      <c r="H11">
        <v>141</v>
      </c>
      <c r="I11">
        <v>4</v>
      </c>
      <c r="J11">
        <v>564</v>
      </c>
      <c r="K11" t="s">
        <v>46</v>
      </c>
      <c r="L11" t="s">
        <v>29</v>
      </c>
      <c r="M11" t="s">
        <v>19</v>
      </c>
      <c r="N11" t="str">
        <f>IF(OR(AmazonSales[[#This Row],[Delivery Status]] = "Cancelled",AmazonSales[[#This Row],[Cancel Date]] &lt;&gt; ""),"Cancelled","Completed")</f>
        <v>Completed</v>
      </c>
      <c r="O11" t="str">
        <f>_xlfn.XLOOKUP(AmazonSales[[#This Row],[Product ID]],ProductMaster[Product ID],ProductMaster[Category],,,1)</f>
        <v>Home</v>
      </c>
      <c r="P11" t="str">
        <f>IF(AmazonSales[[#This Row],[Delivery Date]]="","",AmazonSales[[#This Row],[Delivery Date]]-AmazonSales[[#This Row],[Order Date]])</f>
        <v/>
      </c>
      <c r="Q11" t="str">
        <f>_xlfn.XLOOKUP(AmazonSales[[#This Row],[Customer ID]],CustomerMaster[Customer ID],CustomerMaster[Customer Name],"not_found",0,1)</f>
        <v>Ava Robinson</v>
      </c>
      <c r="R11" t="str">
        <f>IF(AmazonSales[[#This Row],[Delivery Date]] = "","",IF(AmazonSales[[#This Row],[Delivery Date]]-AmazonSales[[#This Row],[Order Date]] &lt;= 2,"Fast","Slow"))</f>
        <v/>
      </c>
      <c r="S11" t="str">
        <f>IF(AmazonSales[[#This Row],[Cancel Date]]&lt;&gt; "","cancelled","not_cancelled")</f>
        <v>not_cancelled</v>
      </c>
      <c r="T11">
        <f>IF(AmazonSales[[#This Row],[Cancel_orders]] = "cancelled",1,0)</f>
        <v>0</v>
      </c>
      <c r="U11">
        <f>IF(AmazonSales[[#This Row],[Delivery Status]] = "Delivered",AmazonSales[[#This Row],[Total Amount]],0)</f>
        <v>0</v>
      </c>
      <c r="V11">
        <f>IF(AmazonSales[[#This Row],[Delivery_Performance]] = "Fast",1,0)</f>
        <v>0</v>
      </c>
    </row>
    <row r="12" spans="1:22" x14ac:dyDescent="0.25">
      <c r="A12" t="s">
        <v>56</v>
      </c>
      <c r="B12" s="1">
        <v>45050</v>
      </c>
      <c r="D12" s="1">
        <v>45054</v>
      </c>
      <c r="E12" t="s">
        <v>57</v>
      </c>
      <c r="F12" t="s">
        <v>58</v>
      </c>
      <c r="G12" t="s">
        <v>28</v>
      </c>
      <c r="H12">
        <v>249</v>
      </c>
      <c r="I12">
        <v>1</v>
      </c>
      <c r="J12">
        <v>249</v>
      </c>
      <c r="K12" t="s">
        <v>41</v>
      </c>
      <c r="L12" t="s">
        <v>18</v>
      </c>
      <c r="M12" t="s">
        <v>30</v>
      </c>
      <c r="N12" t="str">
        <f>IF(OR(AmazonSales[[#This Row],[Delivery Status]] = "Cancelled",AmazonSales[[#This Row],[Cancel Date]] &lt;&gt; ""),"Cancelled","Completed")</f>
        <v>Cancelled</v>
      </c>
      <c r="O12" t="str">
        <f>_xlfn.XLOOKUP(AmazonSales[[#This Row],[Product ID]],ProductMaster[Product ID],ProductMaster[Category],,,1)</f>
        <v>Electronics</v>
      </c>
      <c r="P12" t="str">
        <f>IF(AmazonSales[[#This Row],[Delivery Date]]="","",AmazonSales[[#This Row],[Delivery Date]]-AmazonSales[[#This Row],[Order Date]])</f>
        <v/>
      </c>
      <c r="Q12" t="str">
        <f>_xlfn.XLOOKUP(AmazonSales[[#This Row],[Customer ID]],CustomerMaster[Customer ID],CustomerMaster[Customer Name],"not_found",0,1)</f>
        <v>Emily Johnson</v>
      </c>
      <c r="R12" t="str">
        <f>IF(AmazonSales[[#This Row],[Delivery Date]] = "","",IF(AmazonSales[[#This Row],[Delivery Date]]-AmazonSales[[#This Row],[Order Date]] &lt;= 2,"Fast","Slow"))</f>
        <v/>
      </c>
      <c r="S12" t="str">
        <f>IF(AmazonSales[[#This Row],[Cancel Date]]&lt;&gt; "","cancelled","not_cancelled")</f>
        <v>cancelled</v>
      </c>
      <c r="T12">
        <f>IF(AmazonSales[[#This Row],[Cancel_orders]] = "cancelled",1,0)</f>
        <v>1</v>
      </c>
      <c r="U12">
        <f>IF(AmazonSales[[#This Row],[Delivery Status]] = "Delivered",AmazonSales[[#This Row],[Total Amount]],0)</f>
        <v>0</v>
      </c>
      <c r="V12">
        <f>IF(AmazonSales[[#This Row],[Delivery_Performance]] = "Fast",1,0)</f>
        <v>0</v>
      </c>
    </row>
    <row r="13" spans="1:22" x14ac:dyDescent="0.25">
      <c r="A13" t="s">
        <v>59</v>
      </c>
      <c r="B13" s="1">
        <v>45132</v>
      </c>
      <c r="E13" t="s">
        <v>60</v>
      </c>
      <c r="F13" t="s">
        <v>58</v>
      </c>
      <c r="G13" t="s">
        <v>45</v>
      </c>
      <c r="H13">
        <v>247</v>
      </c>
      <c r="I13">
        <v>3</v>
      </c>
      <c r="J13">
        <v>741</v>
      </c>
      <c r="K13" t="s">
        <v>41</v>
      </c>
      <c r="L13" t="s">
        <v>29</v>
      </c>
      <c r="M13" t="s">
        <v>61</v>
      </c>
      <c r="N13" t="str">
        <f>IF(OR(AmazonSales[[#This Row],[Delivery Status]] = "Cancelled",AmazonSales[[#This Row],[Cancel Date]] &lt;&gt; ""),"Cancelled","Completed")</f>
        <v>Completed</v>
      </c>
      <c r="O13" t="str">
        <f>_xlfn.XLOOKUP(AmazonSales[[#This Row],[Product ID]],ProductMaster[Product ID],ProductMaster[Category],,,1)</f>
        <v>Electronics</v>
      </c>
      <c r="P13" t="str">
        <f>IF(AmazonSales[[#This Row],[Delivery Date]]="","",AmazonSales[[#This Row],[Delivery Date]]-AmazonSales[[#This Row],[Order Date]])</f>
        <v/>
      </c>
      <c r="Q13" t="str">
        <f>_xlfn.XLOOKUP(AmazonSales[[#This Row],[Customer ID]],CustomerMaster[Customer ID],CustomerMaster[Customer Name],"not_found",0,1)</f>
        <v>Emily Johnson</v>
      </c>
      <c r="R13" t="str">
        <f>IF(AmazonSales[[#This Row],[Delivery Date]] = "","",IF(AmazonSales[[#This Row],[Delivery Date]]-AmazonSales[[#This Row],[Order Date]] &lt;= 2,"Fast","Slow"))</f>
        <v/>
      </c>
      <c r="S13" t="str">
        <f>IF(AmazonSales[[#This Row],[Cancel Date]]&lt;&gt; "","cancelled","not_cancelled")</f>
        <v>not_cancelled</v>
      </c>
      <c r="T13">
        <f>IF(AmazonSales[[#This Row],[Cancel_orders]] = "cancelled",1,0)</f>
        <v>0</v>
      </c>
      <c r="U13">
        <f>IF(AmazonSales[[#This Row],[Delivery Status]] = "Delivered",AmazonSales[[#This Row],[Total Amount]],0)</f>
        <v>0</v>
      </c>
      <c r="V13">
        <f>IF(AmazonSales[[#This Row],[Delivery_Performance]] = "Fast",1,0)</f>
        <v>0</v>
      </c>
    </row>
    <row r="14" spans="1:22" x14ac:dyDescent="0.25">
      <c r="A14" t="s">
        <v>62</v>
      </c>
      <c r="B14" s="1">
        <v>44982</v>
      </c>
      <c r="D14" s="1">
        <v>44985</v>
      </c>
      <c r="E14" t="s">
        <v>63</v>
      </c>
      <c r="F14" t="s">
        <v>64</v>
      </c>
      <c r="G14" t="s">
        <v>45</v>
      </c>
      <c r="H14">
        <v>96</v>
      </c>
      <c r="I14">
        <v>1</v>
      </c>
      <c r="J14">
        <v>96</v>
      </c>
      <c r="K14" t="s">
        <v>17</v>
      </c>
      <c r="L14" t="s">
        <v>18</v>
      </c>
      <c r="M14" t="s">
        <v>38</v>
      </c>
      <c r="N14" t="str">
        <f>IF(OR(AmazonSales[[#This Row],[Delivery Status]] = "Cancelled",AmazonSales[[#This Row],[Cancel Date]] &lt;&gt; ""),"Cancelled","Completed")</f>
        <v>Cancelled</v>
      </c>
      <c r="O14" t="str">
        <f>_xlfn.XLOOKUP(AmazonSales[[#This Row],[Product ID]],ProductMaster[Product ID],ProductMaster[Category],,,1)</f>
        <v>Fashion</v>
      </c>
      <c r="P14" t="str">
        <f>IF(AmazonSales[[#This Row],[Delivery Date]]="","",AmazonSales[[#This Row],[Delivery Date]]-AmazonSales[[#This Row],[Order Date]])</f>
        <v/>
      </c>
      <c r="Q14" t="str">
        <f>_xlfn.XLOOKUP(AmazonSales[[#This Row],[Customer ID]],CustomerMaster[Customer ID],CustomerMaster[Customer Name],"not_found",0,1)</f>
        <v>Charlotte Reed</v>
      </c>
      <c r="R14" t="str">
        <f>IF(AmazonSales[[#This Row],[Delivery Date]] = "","",IF(AmazonSales[[#This Row],[Delivery Date]]-AmazonSales[[#This Row],[Order Date]] &lt;= 2,"Fast","Slow"))</f>
        <v/>
      </c>
      <c r="S14" t="str">
        <f>IF(AmazonSales[[#This Row],[Cancel Date]]&lt;&gt; "","cancelled","not_cancelled")</f>
        <v>cancelled</v>
      </c>
      <c r="T14">
        <f>IF(AmazonSales[[#This Row],[Cancel_orders]] = "cancelled",1,0)</f>
        <v>1</v>
      </c>
      <c r="U14">
        <f>IF(AmazonSales[[#This Row],[Delivery Status]] = "Delivered",AmazonSales[[#This Row],[Total Amount]],0)</f>
        <v>0</v>
      </c>
      <c r="V14">
        <f>IF(AmazonSales[[#This Row],[Delivery_Performance]] = "Fast",1,0)</f>
        <v>0</v>
      </c>
    </row>
    <row r="15" spans="1:22" x14ac:dyDescent="0.25">
      <c r="A15" t="s">
        <v>65</v>
      </c>
      <c r="B15" s="1">
        <v>44981</v>
      </c>
      <c r="D15" s="1">
        <v>44982</v>
      </c>
      <c r="E15" t="s">
        <v>66</v>
      </c>
      <c r="F15" t="s">
        <v>67</v>
      </c>
      <c r="G15" t="s">
        <v>50</v>
      </c>
      <c r="H15">
        <v>74</v>
      </c>
      <c r="I15">
        <v>5</v>
      </c>
      <c r="J15">
        <v>370</v>
      </c>
      <c r="K15" t="s">
        <v>17</v>
      </c>
      <c r="L15" t="s">
        <v>18</v>
      </c>
      <c r="M15" t="s">
        <v>38</v>
      </c>
      <c r="N15" t="str">
        <f>IF(OR(AmazonSales[[#This Row],[Delivery Status]] = "Cancelled",AmazonSales[[#This Row],[Cancel Date]] &lt;&gt; ""),"Cancelled","Completed")</f>
        <v>Cancelled</v>
      </c>
      <c r="O15" t="str">
        <f>_xlfn.XLOOKUP(AmazonSales[[#This Row],[Product ID]],ProductMaster[Product ID],ProductMaster[Category],,,1)</f>
        <v>Electronics</v>
      </c>
      <c r="P15" t="str">
        <f>IF(AmazonSales[[#This Row],[Delivery Date]]="","",AmazonSales[[#This Row],[Delivery Date]]-AmazonSales[[#This Row],[Order Date]])</f>
        <v/>
      </c>
      <c r="Q15" t="str">
        <f>_xlfn.XLOOKUP(AmazonSales[[#This Row],[Customer ID]],CustomerMaster[Customer ID],CustomerMaster[Customer Name],"not_found",0,1)</f>
        <v>Hazel Rivera</v>
      </c>
      <c r="R15" t="str">
        <f>IF(AmazonSales[[#This Row],[Delivery Date]] = "","",IF(AmazonSales[[#This Row],[Delivery Date]]-AmazonSales[[#This Row],[Order Date]] &lt;= 2,"Fast","Slow"))</f>
        <v/>
      </c>
      <c r="S15" t="str">
        <f>IF(AmazonSales[[#This Row],[Cancel Date]]&lt;&gt; "","cancelled","not_cancelled")</f>
        <v>cancelled</v>
      </c>
      <c r="T15">
        <f>IF(AmazonSales[[#This Row],[Cancel_orders]] = "cancelled",1,0)</f>
        <v>1</v>
      </c>
      <c r="U15">
        <f>IF(AmazonSales[[#This Row],[Delivery Status]] = "Delivered",AmazonSales[[#This Row],[Total Amount]],0)</f>
        <v>0</v>
      </c>
      <c r="V15">
        <f>IF(AmazonSales[[#This Row],[Delivery_Performance]] = "Fast",1,0)</f>
        <v>0</v>
      </c>
    </row>
    <row r="16" spans="1:22" x14ac:dyDescent="0.25">
      <c r="A16" t="s">
        <v>68</v>
      </c>
      <c r="B16" s="1">
        <v>45164</v>
      </c>
      <c r="D16" s="1">
        <v>45171</v>
      </c>
      <c r="E16" t="s">
        <v>66</v>
      </c>
      <c r="F16" t="s">
        <v>69</v>
      </c>
      <c r="G16" t="s">
        <v>28</v>
      </c>
      <c r="H16">
        <v>27</v>
      </c>
      <c r="I16">
        <v>1</v>
      </c>
      <c r="J16">
        <v>27</v>
      </c>
      <c r="K16" t="s">
        <v>24</v>
      </c>
      <c r="L16" t="s">
        <v>18</v>
      </c>
      <c r="M16" t="s">
        <v>38</v>
      </c>
      <c r="N16" t="str">
        <f>IF(OR(AmazonSales[[#This Row],[Delivery Status]] = "Cancelled",AmazonSales[[#This Row],[Cancel Date]] &lt;&gt; ""),"Cancelled","Completed")</f>
        <v>Cancelled</v>
      </c>
      <c r="O16" t="str">
        <f>_xlfn.XLOOKUP(AmazonSales[[#This Row],[Product ID]],ProductMaster[Product ID],ProductMaster[Category],,,1)</f>
        <v>Fashion</v>
      </c>
      <c r="P16" t="str">
        <f>IF(AmazonSales[[#This Row],[Delivery Date]]="","",AmazonSales[[#This Row],[Delivery Date]]-AmazonSales[[#This Row],[Order Date]])</f>
        <v/>
      </c>
      <c r="Q16" t="str">
        <f>_xlfn.XLOOKUP(AmazonSales[[#This Row],[Customer ID]],CustomerMaster[Customer ID],CustomerMaster[Customer Name],"not_found",0,1)</f>
        <v>Hazel Rivera</v>
      </c>
      <c r="R16" t="str">
        <f>IF(AmazonSales[[#This Row],[Delivery Date]] = "","",IF(AmazonSales[[#This Row],[Delivery Date]]-AmazonSales[[#This Row],[Order Date]] &lt;= 2,"Fast","Slow"))</f>
        <v/>
      </c>
      <c r="S16" t="str">
        <f>IF(AmazonSales[[#This Row],[Cancel Date]]&lt;&gt; "","cancelled","not_cancelled")</f>
        <v>cancelled</v>
      </c>
      <c r="T16">
        <f>IF(AmazonSales[[#This Row],[Cancel_orders]] = "cancelled",1,0)</f>
        <v>1</v>
      </c>
      <c r="U16">
        <f>IF(AmazonSales[[#This Row],[Delivery Status]] = "Delivered",AmazonSales[[#This Row],[Total Amount]],0)</f>
        <v>0</v>
      </c>
      <c r="V16">
        <f>IF(AmazonSales[[#This Row],[Delivery_Performance]] = "Fast",1,0)</f>
        <v>0</v>
      </c>
    </row>
    <row r="17" spans="1:22" x14ac:dyDescent="0.25">
      <c r="A17" t="s">
        <v>70</v>
      </c>
      <c r="B17" s="1">
        <v>44970</v>
      </c>
      <c r="E17" t="s">
        <v>71</v>
      </c>
      <c r="F17" t="s">
        <v>69</v>
      </c>
      <c r="G17" t="s">
        <v>28</v>
      </c>
      <c r="H17">
        <v>27</v>
      </c>
      <c r="I17">
        <v>3</v>
      </c>
      <c r="J17">
        <v>81</v>
      </c>
      <c r="K17" t="s">
        <v>46</v>
      </c>
      <c r="L17" t="s">
        <v>29</v>
      </c>
      <c r="M17" t="s">
        <v>38</v>
      </c>
      <c r="N17" t="str">
        <f>IF(OR(AmazonSales[[#This Row],[Delivery Status]] = "Cancelled",AmazonSales[[#This Row],[Cancel Date]] &lt;&gt; ""),"Cancelled","Completed")</f>
        <v>Completed</v>
      </c>
      <c r="O17" t="str">
        <f>_xlfn.XLOOKUP(AmazonSales[[#This Row],[Product ID]],ProductMaster[Product ID],ProductMaster[Category],,,1)</f>
        <v>Fashion</v>
      </c>
      <c r="P17" t="str">
        <f>IF(AmazonSales[[#This Row],[Delivery Date]]="","",AmazonSales[[#This Row],[Delivery Date]]-AmazonSales[[#This Row],[Order Date]])</f>
        <v/>
      </c>
      <c r="Q17" t="str">
        <f>_xlfn.XLOOKUP(AmazonSales[[#This Row],[Customer ID]],CustomerMaster[Customer ID],CustomerMaster[Customer Name],"not_found",0,1)</f>
        <v>Scarlett Murphy</v>
      </c>
      <c r="R17" t="str">
        <f>IF(AmazonSales[[#This Row],[Delivery Date]] = "","",IF(AmazonSales[[#This Row],[Delivery Date]]-AmazonSales[[#This Row],[Order Date]] &lt;= 2,"Fast","Slow"))</f>
        <v/>
      </c>
      <c r="S17" t="str">
        <f>IF(AmazonSales[[#This Row],[Cancel Date]]&lt;&gt; "","cancelled","not_cancelled")</f>
        <v>not_cancelled</v>
      </c>
      <c r="T17">
        <f>IF(AmazonSales[[#This Row],[Cancel_orders]] = "cancelled",1,0)</f>
        <v>0</v>
      </c>
      <c r="U17">
        <f>IF(AmazonSales[[#This Row],[Delivery Status]] = "Delivered",AmazonSales[[#This Row],[Total Amount]],0)</f>
        <v>0</v>
      </c>
      <c r="V17">
        <f>IF(AmazonSales[[#This Row],[Delivery_Performance]] = "Fast",1,0)</f>
        <v>0</v>
      </c>
    </row>
    <row r="18" spans="1:22" x14ac:dyDescent="0.25">
      <c r="A18" t="s">
        <v>72</v>
      </c>
      <c r="B18" s="1">
        <v>45105</v>
      </c>
      <c r="C18" s="1">
        <v>45108</v>
      </c>
      <c r="E18" t="s">
        <v>60</v>
      </c>
      <c r="F18" t="s">
        <v>73</v>
      </c>
      <c r="G18" t="s">
        <v>23</v>
      </c>
      <c r="H18">
        <v>21</v>
      </c>
      <c r="I18">
        <v>3</v>
      </c>
      <c r="J18">
        <v>63</v>
      </c>
      <c r="K18" t="s">
        <v>24</v>
      </c>
      <c r="L18" t="s">
        <v>25</v>
      </c>
      <c r="M18" t="s">
        <v>19</v>
      </c>
      <c r="N18" t="str">
        <f>IF(OR(AmazonSales[[#This Row],[Delivery Status]] = "Cancelled",AmazonSales[[#This Row],[Cancel Date]] &lt;&gt; ""),"Cancelled","Completed")</f>
        <v>Completed</v>
      </c>
      <c r="O18" t="str">
        <f>_xlfn.XLOOKUP(AmazonSales[[#This Row],[Product ID]],ProductMaster[Product ID],ProductMaster[Category],,,1)</f>
        <v>Books</v>
      </c>
      <c r="P18">
        <f>IF(AmazonSales[[#This Row],[Delivery Date]]="","",AmazonSales[[#This Row],[Delivery Date]]-AmazonSales[[#This Row],[Order Date]])</f>
        <v>3</v>
      </c>
      <c r="Q18" t="str">
        <f>_xlfn.XLOOKUP(AmazonSales[[#This Row],[Customer ID]],CustomerMaster[Customer ID],CustomerMaster[Customer Name],"not_found",0,1)</f>
        <v>Emily Johnson</v>
      </c>
      <c r="R18" t="str">
        <f>IF(AmazonSales[[#This Row],[Delivery Date]] = "","",IF(AmazonSales[[#This Row],[Delivery Date]]-AmazonSales[[#This Row],[Order Date]] &lt;= 2,"Fast","Slow"))</f>
        <v>Slow</v>
      </c>
      <c r="S18" t="str">
        <f>IF(AmazonSales[[#This Row],[Cancel Date]]&lt;&gt; "","cancelled","not_cancelled")</f>
        <v>not_cancelled</v>
      </c>
      <c r="T18">
        <f>IF(AmazonSales[[#This Row],[Cancel_orders]] = "cancelled",1,0)</f>
        <v>0</v>
      </c>
      <c r="U18">
        <f>IF(AmazonSales[[#This Row],[Delivery Status]] = "Delivered",AmazonSales[[#This Row],[Total Amount]],0)</f>
        <v>63</v>
      </c>
      <c r="V18">
        <f>IF(AmazonSales[[#This Row],[Delivery_Performance]] = "Fast",1,0)</f>
        <v>0</v>
      </c>
    </row>
    <row r="19" spans="1:22" x14ac:dyDescent="0.25">
      <c r="A19" t="s">
        <v>74</v>
      </c>
      <c r="B19" s="1">
        <v>45258</v>
      </c>
      <c r="E19" t="s">
        <v>75</v>
      </c>
      <c r="F19" t="s">
        <v>76</v>
      </c>
      <c r="G19" t="s">
        <v>50</v>
      </c>
      <c r="H19">
        <v>70</v>
      </c>
      <c r="I19">
        <v>5</v>
      </c>
      <c r="J19">
        <v>350</v>
      </c>
      <c r="K19" t="s">
        <v>33</v>
      </c>
      <c r="L19" t="s">
        <v>29</v>
      </c>
      <c r="M19" t="s">
        <v>38</v>
      </c>
      <c r="N19" t="str">
        <f>IF(OR(AmazonSales[[#This Row],[Delivery Status]] = "Cancelled",AmazonSales[[#This Row],[Cancel Date]] &lt;&gt; ""),"Cancelled","Completed")</f>
        <v>Completed</v>
      </c>
      <c r="O19" t="str">
        <f>_xlfn.XLOOKUP(AmazonSales[[#This Row],[Product ID]],ProductMaster[Product ID],ProductMaster[Category],,,1)</f>
        <v>Books</v>
      </c>
      <c r="P19" t="str">
        <f>IF(AmazonSales[[#This Row],[Delivery Date]]="","",AmazonSales[[#This Row],[Delivery Date]]-AmazonSales[[#This Row],[Order Date]])</f>
        <v/>
      </c>
      <c r="Q19" t="str">
        <f>_xlfn.XLOOKUP(AmazonSales[[#This Row],[Customer ID]],CustomerMaster[Customer ID],CustomerMaster[Customer Name],"not_found",0,1)</f>
        <v>Mason Hall</v>
      </c>
      <c r="R19" t="str">
        <f>IF(AmazonSales[[#This Row],[Delivery Date]] = "","",IF(AmazonSales[[#This Row],[Delivery Date]]-AmazonSales[[#This Row],[Order Date]] &lt;= 2,"Fast","Slow"))</f>
        <v/>
      </c>
      <c r="S19" t="str">
        <f>IF(AmazonSales[[#This Row],[Cancel Date]]&lt;&gt; "","cancelled","not_cancelled")</f>
        <v>not_cancelled</v>
      </c>
      <c r="T19">
        <f>IF(AmazonSales[[#This Row],[Cancel_orders]] = "cancelled",1,0)</f>
        <v>0</v>
      </c>
      <c r="U19">
        <f>IF(AmazonSales[[#This Row],[Delivery Status]] = "Delivered",AmazonSales[[#This Row],[Total Amount]],0)</f>
        <v>0</v>
      </c>
      <c r="V19">
        <f>IF(AmazonSales[[#This Row],[Delivery_Performance]] = "Fast",1,0)</f>
        <v>0</v>
      </c>
    </row>
    <row r="20" spans="1:22" x14ac:dyDescent="0.25">
      <c r="A20" t="s">
        <v>77</v>
      </c>
      <c r="B20" s="1">
        <v>45163</v>
      </c>
      <c r="E20" t="s">
        <v>78</v>
      </c>
      <c r="F20" t="s">
        <v>64</v>
      </c>
      <c r="G20" t="s">
        <v>28</v>
      </c>
      <c r="H20">
        <v>94</v>
      </c>
      <c r="I20">
        <v>4</v>
      </c>
      <c r="J20">
        <v>376</v>
      </c>
      <c r="K20" t="s">
        <v>24</v>
      </c>
      <c r="L20" t="s">
        <v>29</v>
      </c>
      <c r="M20" t="s">
        <v>30</v>
      </c>
      <c r="N20" t="str">
        <f>IF(OR(AmazonSales[[#This Row],[Delivery Status]] = "Cancelled",AmazonSales[[#This Row],[Cancel Date]] &lt;&gt; ""),"Cancelled","Completed")</f>
        <v>Completed</v>
      </c>
      <c r="O20" t="str">
        <f>_xlfn.XLOOKUP(AmazonSales[[#This Row],[Product ID]],ProductMaster[Product ID],ProductMaster[Category],,,1)</f>
        <v>Fashion</v>
      </c>
      <c r="P20" t="str">
        <f>IF(AmazonSales[[#This Row],[Delivery Date]]="","",AmazonSales[[#This Row],[Delivery Date]]-AmazonSales[[#This Row],[Order Date]])</f>
        <v/>
      </c>
      <c r="Q20" t="str">
        <f>_xlfn.XLOOKUP(AmazonSales[[#This Row],[Customer ID]],CustomerMaster[Customer ID],CustomerMaster[Customer Name],"not_found",0,1)</f>
        <v>Jacob Price</v>
      </c>
      <c r="R20" t="str">
        <f>IF(AmazonSales[[#This Row],[Delivery Date]] = "","",IF(AmazonSales[[#This Row],[Delivery Date]]-AmazonSales[[#This Row],[Order Date]] &lt;= 2,"Fast","Slow"))</f>
        <v/>
      </c>
      <c r="S20" t="str">
        <f>IF(AmazonSales[[#This Row],[Cancel Date]]&lt;&gt; "","cancelled","not_cancelled")</f>
        <v>not_cancelled</v>
      </c>
      <c r="T20">
        <f>IF(AmazonSales[[#This Row],[Cancel_orders]] = "cancelled",1,0)</f>
        <v>0</v>
      </c>
      <c r="U20">
        <f>IF(AmazonSales[[#This Row],[Delivery Status]] = "Delivered",AmazonSales[[#This Row],[Total Amount]],0)</f>
        <v>0</v>
      </c>
      <c r="V20">
        <f>IF(AmazonSales[[#This Row],[Delivery_Performance]] = "Fast",1,0)</f>
        <v>0</v>
      </c>
    </row>
    <row r="21" spans="1:22" x14ac:dyDescent="0.25">
      <c r="A21" t="s">
        <v>79</v>
      </c>
      <c r="B21" s="1">
        <v>45028</v>
      </c>
      <c r="E21" t="s">
        <v>80</v>
      </c>
      <c r="F21" t="s">
        <v>81</v>
      </c>
      <c r="G21" t="s">
        <v>16</v>
      </c>
      <c r="H21">
        <v>813</v>
      </c>
      <c r="I21">
        <v>2</v>
      </c>
      <c r="J21">
        <v>1626</v>
      </c>
      <c r="K21" t="s">
        <v>24</v>
      </c>
      <c r="L21" t="s">
        <v>29</v>
      </c>
      <c r="M21" t="s">
        <v>61</v>
      </c>
      <c r="N21" t="str">
        <f>IF(OR(AmazonSales[[#This Row],[Delivery Status]] = "Cancelled",AmazonSales[[#This Row],[Cancel Date]] &lt;&gt; ""),"Cancelled","Completed")</f>
        <v>Completed</v>
      </c>
      <c r="O21" t="str">
        <f>_xlfn.XLOOKUP(AmazonSales[[#This Row],[Product ID]],ProductMaster[Product ID],ProductMaster[Category],,,1)</f>
        <v>Electronics</v>
      </c>
      <c r="P21" t="str">
        <f>IF(AmazonSales[[#This Row],[Delivery Date]]="","",AmazonSales[[#This Row],[Delivery Date]]-AmazonSales[[#This Row],[Order Date]])</f>
        <v/>
      </c>
      <c r="Q21" t="str">
        <f>_xlfn.XLOOKUP(AmazonSales[[#This Row],[Customer ID]],CustomerMaster[Customer ID],CustomerMaster[Customer Name],"not_found",0,1)</f>
        <v>Emma King</v>
      </c>
      <c r="R21" t="str">
        <f>IF(AmazonSales[[#This Row],[Delivery Date]] = "","",IF(AmazonSales[[#This Row],[Delivery Date]]-AmazonSales[[#This Row],[Order Date]] &lt;= 2,"Fast","Slow"))</f>
        <v/>
      </c>
      <c r="S21" t="str">
        <f>IF(AmazonSales[[#This Row],[Cancel Date]]&lt;&gt; "","cancelled","not_cancelled")</f>
        <v>not_cancelled</v>
      </c>
      <c r="T21">
        <f>IF(AmazonSales[[#This Row],[Cancel_orders]] = "cancelled",1,0)</f>
        <v>0</v>
      </c>
      <c r="U21">
        <f>IF(AmazonSales[[#This Row],[Delivery Status]] = "Delivered",AmazonSales[[#This Row],[Total Amount]],0)</f>
        <v>0</v>
      </c>
      <c r="V21">
        <f>IF(AmazonSales[[#This Row],[Delivery_Performance]] = "Fast",1,0)</f>
        <v>0</v>
      </c>
    </row>
    <row r="22" spans="1:22" x14ac:dyDescent="0.25">
      <c r="A22" t="s">
        <v>82</v>
      </c>
      <c r="B22" s="1">
        <v>45201</v>
      </c>
      <c r="E22" t="s">
        <v>52</v>
      </c>
      <c r="F22" t="s">
        <v>73</v>
      </c>
      <c r="G22" t="s">
        <v>45</v>
      </c>
      <c r="H22">
        <v>21</v>
      </c>
      <c r="I22">
        <v>4</v>
      </c>
      <c r="J22">
        <v>84</v>
      </c>
      <c r="K22" t="s">
        <v>33</v>
      </c>
      <c r="L22" t="s">
        <v>29</v>
      </c>
      <c r="M22" t="s">
        <v>38</v>
      </c>
      <c r="N22" t="str">
        <f>IF(OR(AmazonSales[[#This Row],[Delivery Status]] = "Cancelled",AmazonSales[[#This Row],[Cancel Date]] &lt;&gt; ""),"Cancelled","Completed")</f>
        <v>Completed</v>
      </c>
      <c r="O22" t="str">
        <f>_xlfn.XLOOKUP(AmazonSales[[#This Row],[Product ID]],ProductMaster[Product ID],ProductMaster[Category],,,1)</f>
        <v>Books</v>
      </c>
      <c r="P22" t="str">
        <f>IF(AmazonSales[[#This Row],[Delivery Date]]="","",AmazonSales[[#This Row],[Delivery Date]]-AmazonSales[[#This Row],[Order Date]])</f>
        <v/>
      </c>
      <c r="Q22" t="str">
        <f>_xlfn.XLOOKUP(AmazonSales[[#This Row],[Customer ID]],CustomerMaster[Customer ID],CustomerMaster[Customer Name],"not_found",0,1)</f>
        <v>Olivia Martinez</v>
      </c>
      <c r="R22" t="str">
        <f>IF(AmazonSales[[#This Row],[Delivery Date]] = "","",IF(AmazonSales[[#This Row],[Delivery Date]]-AmazonSales[[#This Row],[Order Date]] &lt;= 2,"Fast","Slow"))</f>
        <v/>
      </c>
      <c r="S22" t="str">
        <f>IF(AmazonSales[[#This Row],[Cancel Date]]&lt;&gt; "","cancelled","not_cancelled")</f>
        <v>not_cancelled</v>
      </c>
      <c r="T22">
        <f>IF(AmazonSales[[#This Row],[Cancel_orders]] = "cancelled",1,0)</f>
        <v>0</v>
      </c>
      <c r="U22">
        <f>IF(AmazonSales[[#This Row],[Delivery Status]] = "Delivered",AmazonSales[[#This Row],[Total Amount]],0)</f>
        <v>0</v>
      </c>
      <c r="V22">
        <f>IF(AmazonSales[[#This Row],[Delivery_Performance]] = "Fast",1,0)</f>
        <v>0</v>
      </c>
    </row>
    <row r="23" spans="1:22" x14ac:dyDescent="0.25">
      <c r="A23" t="s">
        <v>83</v>
      </c>
      <c r="B23" s="1">
        <v>45239</v>
      </c>
      <c r="E23" t="s">
        <v>63</v>
      </c>
      <c r="F23" t="s">
        <v>15</v>
      </c>
      <c r="G23" t="s">
        <v>50</v>
      </c>
      <c r="H23">
        <v>46</v>
      </c>
      <c r="I23">
        <v>5</v>
      </c>
      <c r="J23">
        <v>230</v>
      </c>
      <c r="K23" t="s">
        <v>33</v>
      </c>
      <c r="L23" t="s">
        <v>29</v>
      </c>
      <c r="M23" t="s">
        <v>30</v>
      </c>
      <c r="N23" t="str">
        <f>IF(OR(AmazonSales[[#This Row],[Delivery Status]] = "Cancelled",AmazonSales[[#This Row],[Cancel Date]] &lt;&gt; ""),"Cancelled","Completed")</f>
        <v>Completed</v>
      </c>
      <c r="O23" t="str">
        <f>_xlfn.XLOOKUP(AmazonSales[[#This Row],[Product ID]],ProductMaster[Product ID],ProductMaster[Category],,,1)</f>
        <v>Home</v>
      </c>
      <c r="P23" t="str">
        <f>IF(AmazonSales[[#This Row],[Delivery Date]]="","",AmazonSales[[#This Row],[Delivery Date]]-AmazonSales[[#This Row],[Order Date]])</f>
        <v/>
      </c>
      <c r="Q23" t="str">
        <f>_xlfn.XLOOKUP(AmazonSales[[#This Row],[Customer ID]],CustomerMaster[Customer ID],CustomerMaster[Customer Name],"not_found",0,1)</f>
        <v>Charlotte Reed</v>
      </c>
      <c r="R23" t="str">
        <f>IF(AmazonSales[[#This Row],[Delivery Date]] = "","",IF(AmazonSales[[#This Row],[Delivery Date]]-AmazonSales[[#This Row],[Order Date]] &lt;= 2,"Fast","Slow"))</f>
        <v/>
      </c>
      <c r="S23" t="str">
        <f>IF(AmazonSales[[#This Row],[Cancel Date]]&lt;&gt; "","cancelled","not_cancelled")</f>
        <v>not_cancelled</v>
      </c>
      <c r="T23">
        <f>IF(AmazonSales[[#This Row],[Cancel_orders]] = "cancelled",1,0)</f>
        <v>0</v>
      </c>
      <c r="U23">
        <f>IF(AmazonSales[[#This Row],[Delivery Status]] = "Delivered",AmazonSales[[#This Row],[Total Amount]],0)</f>
        <v>0</v>
      </c>
      <c r="V23">
        <f>IF(AmazonSales[[#This Row],[Delivery_Performance]] = "Fast",1,0)</f>
        <v>0</v>
      </c>
    </row>
    <row r="24" spans="1:22" x14ac:dyDescent="0.25">
      <c r="A24" t="s">
        <v>84</v>
      </c>
      <c r="B24" s="1">
        <v>44970</v>
      </c>
      <c r="D24" s="1">
        <v>44971</v>
      </c>
      <c r="E24" t="s">
        <v>85</v>
      </c>
      <c r="F24" t="s">
        <v>37</v>
      </c>
      <c r="G24" t="s">
        <v>50</v>
      </c>
      <c r="H24">
        <v>58</v>
      </c>
      <c r="I24">
        <v>3</v>
      </c>
      <c r="J24">
        <v>174</v>
      </c>
      <c r="K24" t="s">
        <v>41</v>
      </c>
      <c r="L24" t="s">
        <v>18</v>
      </c>
      <c r="M24" t="s">
        <v>38</v>
      </c>
      <c r="N24" t="str">
        <f>IF(OR(AmazonSales[[#This Row],[Delivery Status]] = "Cancelled",AmazonSales[[#This Row],[Cancel Date]] &lt;&gt; ""),"Cancelled","Completed")</f>
        <v>Cancelled</v>
      </c>
      <c r="O24" t="str">
        <f>_xlfn.XLOOKUP(AmazonSales[[#This Row],[Product ID]],ProductMaster[Product ID],ProductMaster[Category],,,1)</f>
        <v>Fashion</v>
      </c>
      <c r="P24" t="str">
        <f>IF(AmazonSales[[#This Row],[Delivery Date]]="","",AmazonSales[[#This Row],[Delivery Date]]-AmazonSales[[#This Row],[Order Date]])</f>
        <v/>
      </c>
      <c r="Q24" t="str">
        <f>_xlfn.XLOOKUP(AmazonSales[[#This Row],[Customer ID]],CustomerMaster[Customer ID],CustomerMaster[Customer Name],"not_found",0,1)</f>
        <v>Elijah Lewis</v>
      </c>
      <c r="R24" t="str">
        <f>IF(AmazonSales[[#This Row],[Delivery Date]] = "","",IF(AmazonSales[[#This Row],[Delivery Date]]-AmazonSales[[#This Row],[Order Date]] &lt;= 2,"Fast","Slow"))</f>
        <v/>
      </c>
      <c r="S24" t="str">
        <f>IF(AmazonSales[[#This Row],[Cancel Date]]&lt;&gt; "","cancelled","not_cancelled")</f>
        <v>cancelled</v>
      </c>
      <c r="T24">
        <f>IF(AmazonSales[[#This Row],[Cancel_orders]] = "cancelled",1,0)</f>
        <v>1</v>
      </c>
      <c r="U24">
        <f>IF(AmazonSales[[#This Row],[Delivery Status]] = "Delivered",AmazonSales[[#This Row],[Total Amount]],0)</f>
        <v>0</v>
      </c>
      <c r="V24">
        <f>IF(AmazonSales[[#This Row],[Delivery_Performance]] = "Fast",1,0)</f>
        <v>0</v>
      </c>
    </row>
    <row r="25" spans="1:22" x14ac:dyDescent="0.25">
      <c r="A25" t="s">
        <v>86</v>
      </c>
      <c r="B25" s="1">
        <v>45232</v>
      </c>
      <c r="C25" s="1">
        <v>45235</v>
      </c>
      <c r="E25" t="s">
        <v>87</v>
      </c>
      <c r="F25" t="s">
        <v>64</v>
      </c>
      <c r="G25" t="s">
        <v>50</v>
      </c>
      <c r="H25">
        <v>96</v>
      </c>
      <c r="I25">
        <v>5</v>
      </c>
      <c r="J25">
        <v>480</v>
      </c>
      <c r="K25" t="s">
        <v>41</v>
      </c>
      <c r="L25" t="s">
        <v>25</v>
      </c>
      <c r="M25" t="s">
        <v>38</v>
      </c>
      <c r="N25" t="str">
        <f>IF(OR(AmazonSales[[#This Row],[Delivery Status]] = "Cancelled",AmazonSales[[#This Row],[Cancel Date]] &lt;&gt; ""),"Cancelled","Completed")</f>
        <v>Completed</v>
      </c>
      <c r="O25" t="str">
        <f>_xlfn.XLOOKUP(AmazonSales[[#This Row],[Product ID]],ProductMaster[Product ID],ProductMaster[Category],,,1)</f>
        <v>Fashion</v>
      </c>
      <c r="P25">
        <f>IF(AmazonSales[[#This Row],[Delivery Date]]="","",AmazonSales[[#This Row],[Delivery Date]]-AmazonSales[[#This Row],[Order Date]])</f>
        <v>3</v>
      </c>
      <c r="Q25" t="str">
        <f>_xlfn.XLOOKUP(AmazonSales[[#This Row],[Customer ID]],CustomerMaster[Customer ID],CustomerMaster[Customer Name],"not_found",0,1)</f>
        <v>Lily Bennett</v>
      </c>
      <c r="R25" t="str">
        <f>IF(AmazonSales[[#This Row],[Delivery Date]] = "","",IF(AmazonSales[[#This Row],[Delivery Date]]-AmazonSales[[#This Row],[Order Date]] &lt;= 2,"Fast","Slow"))</f>
        <v>Slow</v>
      </c>
      <c r="S25" t="str">
        <f>IF(AmazonSales[[#This Row],[Cancel Date]]&lt;&gt; "","cancelled","not_cancelled")</f>
        <v>not_cancelled</v>
      </c>
      <c r="T25">
        <f>IF(AmazonSales[[#This Row],[Cancel_orders]] = "cancelled",1,0)</f>
        <v>0</v>
      </c>
      <c r="U25">
        <f>IF(AmazonSales[[#This Row],[Delivery Status]] = "Delivered",AmazonSales[[#This Row],[Total Amount]],0)</f>
        <v>480</v>
      </c>
      <c r="V25">
        <f>IF(AmazonSales[[#This Row],[Delivery_Performance]] = "Fast",1,0)</f>
        <v>0</v>
      </c>
    </row>
    <row r="26" spans="1:22" x14ac:dyDescent="0.25">
      <c r="A26" t="s">
        <v>88</v>
      </c>
      <c r="B26" s="1">
        <v>45074</v>
      </c>
      <c r="C26" s="1">
        <v>45076</v>
      </c>
      <c r="E26" t="s">
        <v>89</v>
      </c>
      <c r="F26" t="s">
        <v>90</v>
      </c>
      <c r="G26" t="s">
        <v>28</v>
      </c>
      <c r="H26">
        <v>43</v>
      </c>
      <c r="I26">
        <v>1</v>
      </c>
      <c r="J26">
        <v>43</v>
      </c>
      <c r="K26" t="s">
        <v>46</v>
      </c>
      <c r="L26" t="s">
        <v>25</v>
      </c>
      <c r="M26" t="s">
        <v>38</v>
      </c>
      <c r="N26" t="str">
        <f>IF(OR(AmazonSales[[#This Row],[Delivery Status]] = "Cancelled",AmazonSales[[#This Row],[Cancel Date]] &lt;&gt; ""),"Cancelled","Completed")</f>
        <v>Completed</v>
      </c>
      <c r="O26" t="str">
        <f>_xlfn.XLOOKUP(AmazonSales[[#This Row],[Product ID]],ProductMaster[Product ID],ProductMaster[Category],,,1)</f>
        <v>Toys</v>
      </c>
      <c r="P26">
        <f>IF(AmazonSales[[#This Row],[Delivery Date]]="","",AmazonSales[[#This Row],[Delivery Date]]-AmazonSales[[#This Row],[Order Date]])</f>
        <v>2</v>
      </c>
      <c r="Q26" t="str">
        <f>_xlfn.XLOOKUP(AmazonSales[[#This Row],[Customer ID]],CustomerMaster[Customer ID],CustomerMaster[Customer Name],"not_found",0,1)</f>
        <v>Benjamin Clark</v>
      </c>
      <c r="R26" t="str">
        <f>IF(AmazonSales[[#This Row],[Delivery Date]] = "","",IF(AmazonSales[[#This Row],[Delivery Date]]-AmazonSales[[#This Row],[Order Date]] &lt;= 2,"Fast","Slow"))</f>
        <v>Fast</v>
      </c>
      <c r="S26" t="str">
        <f>IF(AmazonSales[[#This Row],[Cancel Date]]&lt;&gt; "","cancelled","not_cancelled")</f>
        <v>not_cancelled</v>
      </c>
      <c r="T26">
        <f>IF(AmazonSales[[#This Row],[Cancel_orders]] = "cancelled",1,0)</f>
        <v>0</v>
      </c>
      <c r="U26">
        <f>IF(AmazonSales[[#This Row],[Delivery Status]] = "Delivered",AmazonSales[[#This Row],[Total Amount]],0)</f>
        <v>43</v>
      </c>
      <c r="V26">
        <f>IF(AmazonSales[[#This Row],[Delivery_Performance]] = "Fast",1,0)</f>
        <v>1</v>
      </c>
    </row>
    <row r="27" spans="1:22" x14ac:dyDescent="0.25">
      <c r="A27" t="s">
        <v>91</v>
      </c>
      <c r="B27" s="1">
        <v>45214</v>
      </c>
      <c r="C27" s="1">
        <v>45220</v>
      </c>
      <c r="E27" t="s">
        <v>36</v>
      </c>
      <c r="F27" t="s">
        <v>92</v>
      </c>
      <c r="G27" t="s">
        <v>28</v>
      </c>
      <c r="H27">
        <v>64</v>
      </c>
      <c r="I27">
        <v>4</v>
      </c>
      <c r="J27">
        <v>256</v>
      </c>
      <c r="K27" t="s">
        <v>46</v>
      </c>
      <c r="L27" t="s">
        <v>25</v>
      </c>
      <c r="M27" t="s">
        <v>30</v>
      </c>
      <c r="N27" t="str">
        <f>IF(OR(AmazonSales[[#This Row],[Delivery Status]] = "Cancelled",AmazonSales[[#This Row],[Cancel Date]] &lt;&gt; ""),"Cancelled","Completed")</f>
        <v>Completed</v>
      </c>
      <c r="O27" t="str">
        <f>_xlfn.XLOOKUP(AmazonSales[[#This Row],[Product ID]],ProductMaster[Product ID],ProductMaster[Category],,,1)</f>
        <v>Fashion</v>
      </c>
      <c r="P27">
        <f>IF(AmazonSales[[#This Row],[Delivery Date]]="","",AmazonSales[[#This Row],[Delivery Date]]-AmazonSales[[#This Row],[Order Date]])</f>
        <v>6</v>
      </c>
      <c r="Q27" t="str">
        <f>_xlfn.XLOOKUP(AmazonSales[[#This Row],[Customer ID]],CustomerMaster[Customer ID],CustomerMaster[Customer Name],"not_found",0,1)</f>
        <v>Hazel Brooks</v>
      </c>
      <c r="R27" t="str">
        <f>IF(AmazonSales[[#This Row],[Delivery Date]] = "","",IF(AmazonSales[[#This Row],[Delivery Date]]-AmazonSales[[#This Row],[Order Date]] &lt;= 2,"Fast","Slow"))</f>
        <v>Slow</v>
      </c>
      <c r="S27" t="str">
        <f>IF(AmazonSales[[#This Row],[Cancel Date]]&lt;&gt; "","cancelled","not_cancelled")</f>
        <v>not_cancelled</v>
      </c>
      <c r="T27">
        <f>IF(AmazonSales[[#This Row],[Cancel_orders]] = "cancelled",1,0)</f>
        <v>0</v>
      </c>
      <c r="U27">
        <f>IF(AmazonSales[[#This Row],[Delivery Status]] = "Delivered",AmazonSales[[#This Row],[Total Amount]],0)</f>
        <v>256</v>
      </c>
      <c r="V27">
        <f>IF(AmazonSales[[#This Row],[Delivery_Performance]] = "Fast",1,0)</f>
        <v>0</v>
      </c>
    </row>
    <row r="28" spans="1:22" x14ac:dyDescent="0.25">
      <c r="A28" t="s">
        <v>93</v>
      </c>
      <c r="B28" s="1">
        <v>44942</v>
      </c>
      <c r="E28" t="s">
        <v>94</v>
      </c>
      <c r="F28" t="s">
        <v>76</v>
      </c>
      <c r="G28" t="s">
        <v>28</v>
      </c>
      <c r="H28">
        <v>70</v>
      </c>
      <c r="I28">
        <v>2</v>
      </c>
      <c r="J28">
        <v>140</v>
      </c>
      <c r="K28" t="s">
        <v>41</v>
      </c>
      <c r="L28" t="s">
        <v>29</v>
      </c>
      <c r="M28" t="s">
        <v>38</v>
      </c>
      <c r="N28" t="str">
        <f>IF(OR(AmazonSales[[#This Row],[Delivery Status]] = "Cancelled",AmazonSales[[#This Row],[Cancel Date]] &lt;&gt; ""),"Cancelled","Completed")</f>
        <v>Completed</v>
      </c>
      <c r="O28" t="str">
        <f>_xlfn.XLOOKUP(AmazonSales[[#This Row],[Product ID]],ProductMaster[Product ID],ProductMaster[Category],,,1)</f>
        <v>Books</v>
      </c>
      <c r="P28" t="str">
        <f>IF(AmazonSales[[#This Row],[Delivery Date]]="","",AmazonSales[[#This Row],[Delivery Date]]-AmazonSales[[#This Row],[Order Date]])</f>
        <v/>
      </c>
      <c r="Q28" t="str">
        <f>_xlfn.XLOOKUP(AmazonSales[[#This Row],[Customer ID]],CustomerMaster[Customer ID],CustomerMaster[Customer Name],"not_found",0,1)</f>
        <v>Grace Scott</v>
      </c>
      <c r="R28" t="str">
        <f>IF(AmazonSales[[#This Row],[Delivery Date]] = "","",IF(AmazonSales[[#This Row],[Delivery Date]]-AmazonSales[[#This Row],[Order Date]] &lt;= 2,"Fast","Slow"))</f>
        <v/>
      </c>
      <c r="S28" t="str">
        <f>IF(AmazonSales[[#This Row],[Cancel Date]]&lt;&gt; "","cancelled","not_cancelled")</f>
        <v>not_cancelled</v>
      </c>
      <c r="T28">
        <f>IF(AmazonSales[[#This Row],[Cancel_orders]] = "cancelled",1,0)</f>
        <v>0</v>
      </c>
      <c r="U28">
        <f>IF(AmazonSales[[#This Row],[Delivery Status]] = "Delivered",AmazonSales[[#This Row],[Total Amount]],0)</f>
        <v>0</v>
      </c>
      <c r="V28">
        <f>IF(AmazonSales[[#This Row],[Delivery_Performance]] = "Fast",1,0)</f>
        <v>0</v>
      </c>
    </row>
    <row r="29" spans="1:22" x14ac:dyDescent="0.25">
      <c r="A29" t="s">
        <v>95</v>
      </c>
      <c r="B29" s="1">
        <v>45208</v>
      </c>
      <c r="E29" t="s">
        <v>94</v>
      </c>
      <c r="F29" t="s">
        <v>22</v>
      </c>
      <c r="G29" t="s">
        <v>45</v>
      </c>
      <c r="H29">
        <v>97</v>
      </c>
      <c r="I29">
        <v>3</v>
      </c>
      <c r="J29">
        <v>291</v>
      </c>
      <c r="K29" t="s">
        <v>24</v>
      </c>
      <c r="L29" t="s">
        <v>29</v>
      </c>
      <c r="M29" t="s">
        <v>38</v>
      </c>
      <c r="N29" t="str">
        <f>IF(OR(AmazonSales[[#This Row],[Delivery Status]] = "Cancelled",AmazonSales[[#This Row],[Cancel Date]] &lt;&gt; ""),"Cancelled","Completed")</f>
        <v>Completed</v>
      </c>
      <c r="O29" t="str">
        <f>_xlfn.XLOOKUP(AmazonSales[[#This Row],[Product ID]],ProductMaster[Product ID],ProductMaster[Category],,,1)</f>
        <v>Toys</v>
      </c>
      <c r="P29" t="str">
        <f>IF(AmazonSales[[#This Row],[Delivery Date]]="","",AmazonSales[[#This Row],[Delivery Date]]-AmazonSales[[#This Row],[Order Date]])</f>
        <v/>
      </c>
      <c r="Q29" t="str">
        <f>_xlfn.XLOOKUP(AmazonSales[[#This Row],[Customer ID]],CustomerMaster[Customer ID],CustomerMaster[Customer Name],"not_found",0,1)</f>
        <v>Grace Scott</v>
      </c>
      <c r="R29" t="str">
        <f>IF(AmazonSales[[#This Row],[Delivery Date]] = "","",IF(AmazonSales[[#This Row],[Delivery Date]]-AmazonSales[[#This Row],[Order Date]] &lt;= 2,"Fast","Slow"))</f>
        <v/>
      </c>
      <c r="S29" t="str">
        <f>IF(AmazonSales[[#This Row],[Cancel Date]]&lt;&gt; "","cancelled","not_cancelled")</f>
        <v>not_cancelled</v>
      </c>
      <c r="T29">
        <f>IF(AmazonSales[[#This Row],[Cancel_orders]] = "cancelled",1,0)</f>
        <v>0</v>
      </c>
      <c r="U29">
        <f>IF(AmazonSales[[#This Row],[Delivery Status]] = "Delivered",AmazonSales[[#This Row],[Total Amount]],0)</f>
        <v>0</v>
      </c>
      <c r="V29">
        <f>IF(AmazonSales[[#This Row],[Delivery_Performance]] = "Fast",1,0)</f>
        <v>0</v>
      </c>
    </row>
    <row r="30" spans="1:22" x14ac:dyDescent="0.25">
      <c r="A30" t="s">
        <v>96</v>
      </c>
      <c r="B30" s="1">
        <v>45206</v>
      </c>
      <c r="D30" s="1">
        <v>45209</v>
      </c>
      <c r="E30" t="s">
        <v>97</v>
      </c>
      <c r="F30" t="s">
        <v>49</v>
      </c>
      <c r="G30" t="s">
        <v>23</v>
      </c>
      <c r="H30">
        <v>37</v>
      </c>
      <c r="I30">
        <v>3</v>
      </c>
      <c r="J30">
        <v>111</v>
      </c>
      <c r="K30" t="s">
        <v>17</v>
      </c>
      <c r="L30" t="s">
        <v>18</v>
      </c>
      <c r="M30" t="s">
        <v>19</v>
      </c>
      <c r="N30" t="str">
        <f>IF(OR(AmazonSales[[#This Row],[Delivery Status]] = "Cancelled",AmazonSales[[#This Row],[Cancel Date]] &lt;&gt; ""),"Cancelled","Completed")</f>
        <v>Cancelled</v>
      </c>
      <c r="O30" t="str">
        <f>_xlfn.XLOOKUP(AmazonSales[[#This Row],[Product ID]],ProductMaster[Product ID],ProductMaster[Category],,,1)</f>
        <v>Home</v>
      </c>
      <c r="P30" t="str">
        <f>IF(AmazonSales[[#This Row],[Delivery Date]]="","",AmazonSales[[#This Row],[Delivery Date]]-AmazonSales[[#This Row],[Order Date]])</f>
        <v/>
      </c>
      <c r="Q30" t="str">
        <f>_xlfn.XLOOKUP(AmazonSales[[#This Row],[Customer ID]],CustomerMaster[Customer ID],CustomerMaster[Customer Name],"not_found",0,1)</f>
        <v>Liam Walker</v>
      </c>
      <c r="R30" t="str">
        <f>IF(AmazonSales[[#This Row],[Delivery Date]] = "","",IF(AmazonSales[[#This Row],[Delivery Date]]-AmazonSales[[#This Row],[Order Date]] &lt;= 2,"Fast","Slow"))</f>
        <v/>
      </c>
      <c r="S30" t="str">
        <f>IF(AmazonSales[[#This Row],[Cancel Date]]&lt;&gt; "","cancelled","not_cancelled")</f>
        <v>cancelled</v>
      </c>
      <c r="T30">
        <f>IF(AmazonSales[[#This Row],[Cancel_orders]] = "cancelled",1,0)</f>
        <v>1</v>
      </c>
      <c r="U30">
        <f>IF(AmazonSales[[#This Row],[Delivery Status]] = "Delivered",AmazonSales[[#This Row],[Total Amount]],0)</f>
        <v>0</v>
      </c>
      <c r="V30">
        <f>IF(AmazonSales[[#This Row],[Delivery_Performance]] = "Fast",1,0)</f>
        <v>0</v>
      </c>
    </row>
    <row r="31" spans="1:22" x14ac:dyDescent="0.25">
      <c r="A31" t="s">
        <v>98</v>
      </c>
      <c r="B31" s="1">
        <v>44971</v>
      </c>
      <c r="E31" t="s">
        <v>99</v>
      </c>
      <c r="F31" t="s">
        <v>76</v>
      </c>
      <c r="G31" t="s">
        <v>16</v>
      </c>
      <c r="H31">
        <v>69</v>
      </c>
      <c r="I31">
        <v>5</v>
      </c>
      <c r="J31">
        <v>345</v>
      </c>
      <c r="K31" t="s">
        <v>41</v>
      </c>
      <c r="L31" t="s">
        <v>29</v>
      </c>
      <c r="M31" t="s">
        <v>38</v>
      </c>
      <c r="N31" t="str">
        <f>IF(OR(AmazonSales[[#This Row],[Delivery Status]] = "Cancelled",AmazonSales[[#This Row],[Cancel Date]] &lt;&gt; ""),"Cancelled","Completed")</f>
        <v>Completed</v>
      </c>
      <c r="O31" t="str">
        <f>_xlfn.XLOOKUP(AmazonSales[[#This Row],[Product ID]],ProductMaster[Product ID],ProductMaster[Category],,,1)</f>
        <v>Books</v>
      </c>
      <c r="P31" t="str">
        <f>IF(AmazonSales[[#This Row],[Delivery Date]]="","",AmazonSales[[#This Row],[Delivery Date]]-AmazonSales[[#This Row],[Order Date]])</f>
        <v/>
      </c>
      <c r="Q31" t="str">
        <f>_xlfn.XLOOKUP(AmazonSales[[#This Row],[Customer ID]],CustomerMaster[Customer ID],CustomerMaster[Customer Name],"not_found",0,1)</f>
        <v>Harper Young</v>
      </c>
      <c r="R31" t="str">
        <f>IF(AmazonSales[[#This Row],[Delivery Date]] = "","",IF(AmazonSales[[#This Row],[Delivery Date]]-AmazonSales[[#This Row],[Order Date]] &lt;= 2,"Fast","Slow"))</f>
        <v/>
      </c>
      <c r="S31" t="str">
        <f>IF(AmazonSales[[#This Row],[Cancel Date]]&lt;&gt; "","cancelled","not_cancelled")</f>
        <v>not_cancelled</v>
      </c>
      <c r="T31">
        <f>IF(AmazonSales[[#This Row],[Cancel_orders]] = "cancelled",1,0)</f>
        <v>0</v>
      </c>
      <c r="U31">
        <f>IF(AmazonSales[[#This Row],[Delivery Status]] = "Delivered",AmazonSales[[#This Row],[Total Amount]],0)</f>
        <v>0</v>
      </c>
      <c r="V31">
        <f>IF(AmazonSales[[#This Row],[Delivery_Performance]] = "Fast",1,0)</f>
        <v>0</v>
      </c>
    </row>
    <row r="32" spans="1:22" x14ac:dyDescent="0.25">
      <c r="A32" t="s">
        <v>100</v>
      </c>
      <c r="B32" s="1">
        <v>45011</v>
      </c>
      <c r="E32" t="s">
        <v>101</v>
      </c>
      <c r="F32" t="s">
        <v>90</v>
      </c>
      <c r="G32" t="s">
        <v>16</v>
      </c>
      <c r="H32">
        <v>42</v>
      </c>
      <c r="I32">
        <v>5</v>
      </c>
      <c r="J32">
        <v>210</v>
      </c>
      <c r="K32" t="s">
        <v>41</v>
      </c>
      <c r="L32" t="s">
        <v>29</v>
      </c>
      <c r="M32" t="s">
        <v>34</v>
      </c>
      <c r="N32" t="str">
        <f>IF(OR(AmazonSales[[#This Row],[Delivery Status]] = "Cancelled",AmazonSales[[#This Row],[Cancel Date]] &lt;&gt; ""),"Cancelled","Completed")</f>
        <v>Completed</v>
      </c>
      <c r="O32" t="str">
        <f>_xlfn.XLOOKUP(AmazonSales[[#This Row],[Product ID]],ProductMaster[Product ID],ProductMaster[Category],,,1)</f>
        <v>Toys</v>
      </c>
      <c r="P32" t="str">
        <f>IF(AmazonSales[[#This Row],[Delivery Date]]="","",AmazonSales[[#This Row],[Delivery Date]]-AmazonSales[[#This Row],[Order Date]])</f>
        <v/>
      </c>
      <c r="Q32" t="str">
        <f>_xlfn.XLOOKUP(AmazonSales[[#This Row],[Customer ID]],CustomerMaster[Customer ID],CustomerMaster[Customer Name],"not_found",0,1)</f>
        <v>Harper Young</v>
      </c>
      <c r="R32" t="str">
        <f>IF(AmazonSales[[#This Row],[Delivery Date]] = "","",IF(AmazonSales[[#This Row],[Delivery Date]]-AmazonSales[[#This Row],[Order Date]] &lt;= 2,"Fast","Slow"))</f>
        <v/>
      </c>
      <c r="S32" t="str">
        <f>IF(AmazonSales[[#This Row],[Cancel Date]]&lt;&gt; "","cancelled","not_cancelled")</f>
        <v>not_cancelled</v>
      </c>
      <c r="T32">
        <f>IF(AmazonSales[[#This Row],[Cancel_orders]] = "cancelled",1,0)</f>
        <v>0</v>
      </c>
      <c r="U32">
        <f>IF(AmazonSales[[#This Row],[Delivery Status]] = "Delivered",AmazonSales[[#This Row],[Total Amount]],0)</f>
        <v>0</v>
      </c>
      <c r="V32">
        <f>IF(AmazonSales[[#This Row],[Delivery_Performance]] = "Fast",1,0)</f>
        <v>0</v>
      </c>
    </row>
    <row r="33" spans="1:22" x14ac:dyDescent="0.25">
      <c r="A33" t="s">
        <v>102</v>
      </c>
      <c r="B33" s="1">
        <v>45092</v>
      </c>
      <c r="D33" s="1">
        <v>45099</v>
      </c>
      <c r="E33" t="s">
        <v>103</v>
      </c>
      <c r="F33" t="s">
        <v>104</v>
      </c>
      <c r="G33" t="s">
        <v>23</v>
      </c>
      <c r="H33">
        <v>11</v>
      </c>
      <c r="I33">
        <v>5</v>
      </c>
      <c r="J33">
        <v>55</v>
      </c>
      <c r="K33" t="s">
        <v>46</v>
      </c>
      <c r="L33" t="s">
        <v>18</v>
      </c>
      <c r="M33" t="s">
        <v>61</v>
      </c>
      <c r="N33" t="str">
        <f>IF(OR(AmazonSales[[#This Row],[Delivery Status]] = "Cancelled",AmazonSales[[#This Row],[Cancel Date]] &lt;&gt; ""),"Cancelled","Completed")</f>
        <v>Cancelled</v>
      </c>
      <c r="O33" t="str">
        <f>_xlfn.XLOOKUP(AmazonSales[[#This Row],[Product ID]],ProductMaster[Product ID],ProductMaster[Category],,,1)</f>
        <v>Books</v>
      </c>
      <c r="P33" t="str">
        <f>IF(AmazonSales[[#This Row],[Delivery Date]]="","",AmazonSales[[#This Row],[Delivery Date]]-AmazonSales[[#This Row],[Order Date]])</f>
        <v/>
      </c>
      <c r="Q33" t="str">
        <f>_xlfn.XLOOKUP(AmazonSales[[#This Row],[Customer ID]],CustomerMaster[Customer ID],CustomerMaster[Customer Name],"not_found",0,1)</f>
        <v>Emily Johnson</v>
      </c>
      <c r="R33" t="str">
        <f>IF(AmazonSales[[#This Row],[Delivery Date]] = "","",IF(AmazonSales[[#This Row],[Delivery Date]]-AmazonSales[[#This Row],[Order Date]] &lt;= 2,"Fast","Slow"))</f>
        <v/>
      </c>
      <c r="S33" t="str">
        <f>IF(AmazonSales[[#This Row],[Cancel Date]]&lt;&gt; "","cancelled","not_cancelled")</f>
        <v>cancelled</v>
      </c>
      <c r="T33">
        <f>IF(AmazonSales[[#This Row],[Cancel_orders]] = "cancelled",1,0)</f>
        <v>1</v>
      </c>
      <c r="U33">
        <f>IF(AmazonSales[[#This Row],[Delivery Status]] = "Delivered",AmazonSales[[#This Row],[Total Amount]],0)</f>
        <v>0</v>
      </c>
      <c r="V33">
        <f>IF(AmazonSales[[#This Row],[Delivery_Performance]] = "Fast",1,0)</f>
        <v>0</v>
      </c>
    </row>
    <row r="34" spans="1:22" x14ac:dyDescent="0.25">
      <c r="A34" t="s">
        <v>105</v>
      </c>
      <c r="B34" s="1">
        <v>45068</v>
      </c>
      <c r="C34" s="1">
        <v>45069</v>
      </c>
      <c r="E34" t="s">
        <v>85</v>
      </c>
      <c r="F34" t="s">
        <v>69</v>
      </c>
      <c r="G34" t="s">
        <v>28</v>
      </c>
      <c r="H34">
        <v>27</v>
      </c>
      <c r="I34">
        <v>2</v>
      </c>
      <c r="J34">
        <v>54</v>
      </c>
      <c r="K34" t="s">
        <v>17</v>
      </c>
      <c r="L34" t="s">
        <v>25</v>
      </c>
      <c r="M34" t="s">
        <v>30</v>
      </c>
      <c r="N34" t="str">
        <f>IF(OR(AmazonSales[[#This Row],[Delivery Status]] = "Cancelled",AmazonSales[[#This Row],[Cancel Date]] &lt;&gt; ""),"Cancelled","Completed")</f>
        <v>Completed</v>
      </c>
      <c r="O34" t="str">
        <f>_xlfn.XLOOKUP(AmazonSales[[#This Row],[Product ID]],ProductMaster[Product ID],ProductMaster[Category],,,1)</f>
        <v>Fashion</v>
      </c>
      <c r="P34">
        <f>IF(AmazonSales[[#This Row],[Delivery Date]]="","",AmazonSales[[#This Row],[Delivery Date]]-AmazonSales[[#This Row],[Order Date]])</f>
        <v>1</v>
      </c>
      <c r="Q34" t="str">
        <f>_xlfn.XLOOKUP(AmazonSales[[#This Row],[Customer ID]],CustomerMaster[Customer ID],CustomerMaster[Customer Name],"not_found",0,1)</f>
        <v>Elijah Lewis</v>
      </c>
      <c r="R34" t="str">
        <f>IF(AmazonSales[[#This Row],[Delivery Date]] = "","",IF(AmazonSales[[#This Row],[Delivery Date]]-AmazonSales[[#This Row],[Order Date]] &lt;= 2,"Fast","Slow"))</f>
        <v>Fast</v>
      </c>
      <c r="S34" t="str">
        <f>IF(AmazonSales[[#This Row],[Cancel Date]]&lt;&gt; "","cancelled","not_cancelled")</f>
        <v>not_cancelled</v>
      </c>
      <c r="T34">
        <f>IF(AmazonSales[[#This Row],[Cancel_orders]] = "cancelled",1,0)</f>
        <v>0</v>
      </c>
      <c r="U34">
        <f>IF(AmazonSales[[#This Row],[Delivery Status]] = "Delivered",AmazonSales[[#This Row],[Total Amount]],0)</f>
        <v>54</v>
      </c>
      <c r="V34">
        <f>IF(AmazonSales[[#This Row],[Delivery_Performance]] = "Fast",1,0)</f>
        <v>1</v>
      </c>
    </row>
    <row r="35" spans="1:22" x14ac:dyDescent="0.25">
      <c r="A35" t="s">
        <v>106</v>
      </c>
      <c r="B35" s="1">
        <v>45250</v>
      </c>
      <c r="E35" t="s">
        <v>80</v>
      </c>
      <c r="F35" t="s">
        <v>73</v>
      </c>
      <c r="G35" t="s">
        <v>28</v>
      </c>
      <c r="H35">
        <v>21</v>
      </c>
      <c r="I35">
        <v>1</v>
      </c>
      <c r="J35">
        <v>21</v>
      </c>
      <c r="K35" t="s">
        <v>41</v>
      </c>
      <c r="L35" t="s">
        <v>29</v>
      </c>
      <c r="M35" t="s">
        <v>19</v>
      </c>
      <c r="N35" t="str">
        <f>IF(OR(AmazonSales[[#This Row],[Delivery Status]] = "Cancelled",AmazonSales[[#This Row],[Cancel Date]] &lt;&gt; ""),"Cancelled","Completed")</f>
        <v>Completed</v>
      </c>
      <c r="O35" t="str">
        <f>_xlfn.XLOOKUP(AmazonSales[[#This Row],[Product ID]],ProductMaster[Product ID],ProductMaster[Category],,,1)</f>
        <v>Books</v>
      </c>
      <c r="P35" t="str">
        <f>IF(AmazonSales[[#This Row],[Delivery Date]]="","",AmazonSales[[#This Row],[Delivery Date]]-AmazonSales[[#This Row],[Order Date]])</f>
        <v/>
      </c>
      <c r="Q35" t="str">
        <f>_xlfn.XLOOKUP(AmazonSales[[#This Row],[Customer ID]],CustomerMaster[Customer ID],CustomerMaster[Customer Name],"not_found",0,1)</f>
        <v>Emma King</v>
      </c>
      <c r="R35" t="str">
        <f>IF(AmazonSales[[#This Row],[Delivery Date]] = "","",IF(AmazonSales[[#This Row],[Delivery Date]]-AmazonSales[[#This Row],[Order Date]] &lt;= 2,"Fast","Slow"))</f>
        <v/>
      </c>
      <c r="S35" t="str">
        <f>IF(AmazonSales[[#This Row],[Cancel Date]]&lt;&gt; "","cancelled","not_cancelled")</f>
        <v>not_cancelled</v>
      </c>
      <c r="T35">
        <f>IF(AmazonSales[[#This Row],[Cancel_orders]] = "cancelled",1,0)</f>
        <v>0</v>
      </c>
      <c r="U35">
        <f>IF(AmazonSales[[#This Row],[Delivery Status]] = "Delivered",AmazonSales[[#This Row],[Total Amount]],0)</f>
        <v>0</v>
      </c>
      <c r="V35">
        <f>IF(AmazonSales[[#This Row],[Delivery_Performance]] = "Fast",1,0)</f>
        <v>0</v>
      </c>
    </row>
    <row r="36" spans="1:22" x14ac:dyDescent="0.25">
      <c r="A36" t="s">
        <v>107</v>
      </c>
      <c r="B36" s="1">
        <v>45282</v>
      </c>
      <c r="C36" s="1">
        <v>45286</v>
      </c>
      <c r="E36" t="s">
        <v>108</v>
      </c>
      <c r="F36" t="s">
        <v>109</v>
      </c>
      <c r="G36" t="s">
        <v>28</v>
      </c>
      <c r="H36">
        <v>172</v>
      </c>
      <c r="I36">
        <v>1</v>
      </c>
      <c r="J36">
        <v>172</v>
      </c>
      <c r="K36" t="s">
        <v>33</v>
      </c>
      <c r="L36" t="s">
        <v>25</v>
      </c>
      <c r="M36" t="s">
        <v>30</v>
      </c>
      <c r="N36" t="str">
        <f>IF(OR(AmazonSales[[#This Row],[Delivery Status]] = "Cancelled",AmazonSales[[#This Row],[Cancel Date]] &lt;&gt; ""),"Cancelled","Completed")</f>
        <v>Completed</v>
      </c>
      <c r="O36" t="str">
        <f>_xlfn.XLOOKUP(AmazonSales[[#This Row],[Product ID]],ProductMaster[Product ID],ProductMaster[Category],,,1)</f>
        <v>Electronics</v>
      </c>
      <c r="P36">
        <f>IF(AmazonSales[[#This Row],[Delivery Date]]="","",AmazonSales[[#This Row],[Delivery Date]]-AmazonSales[[#This Row],[Order Date]])</f>
        <v>4</v>
      </c>
      <c r="Q36" t="str">
        <f>_xlfn.XLOOKUP(AmazonSales[[#This Row],[Customer ID]],CustomerMaster[Customer ID],CustomerMaster[Customer Name],"not_found",0,1)</f>
        <v>Luke Gray</v>
      </c>
      <c r="R36" t="str">
        <f>IF(AmazonSales[[#This Row],[Delivery Date]] = "","",IF(AmazonSales[[#This Row],[Delivery Date]]-AmazonSales[[#This Row],[Order Date]] &lt;= 2,"Fast","Slow"))</f>
        <v>Slow</v>
      </c>
      <c r="S36" t="str">
        <f>IF(AmazonSales[[#This Row],[Cancel Date]]&lt;&gt; "","cancelled","not_cancelled")</f>
        <v>not_cancelled</v>
      </c>
      <c r="T36">
        <f>IF(AmazonSales[[#This Row],[Cancel_orders]] = "cancelled",1,0)</f>
        <v>0</v>
      </c>
      <c r="U36">
        <f>IF(AmazonSales[[#This Row],[Delivery Status]] = "Delivered",AmazonSales[[#This Row],[Total Amount]],0)</f>
        <v>172</v>
      </c>
      <c r="V36">
        <f>IF(AmazonSales[[#This Row],[Delivery_Performance]] = "Fast",1,0)</f>
        <v>0</v>
      </c>
    </row>
    <row r="37" spans="1:22" x14ac:dyDescent="0.25">
      <c r="A37" t="s">
        <v>110</v>
      </c>
      <c r="B37" s="1">
        <v>45130</v>
      </c>
      <c r="E37" t="s">
        <v>101</v>
      </c>
      <c r="F37" t="s">
        <v>111</v>
      </c>
      <c r="G37" t="s">
        <v>16</v>
      </c>
      <c r="H37">
        <v>212</v>
      </c>
      <c r="I37">
        <v>3</v>
      </c>
      <c r="J37">
        <v>636</v>
      </c>
      <c r="K37" t="s">
        <v>41</v>
      </c>
      <c r="L37" t="s">
        <v>29</v>
      </c>
      <c r="M37" t="s">
        <v>34</v>
      </c>
      <c r="N37" t="str">
        <f>IF(OR(AmazonSales[[#This Row],[Delivery Status]] = "Cancelled",AmazonSales[[#This Row],[Cancel Date]] &lt;&gt; ""),"Cancelled","Completed")</f>
        <v>Completed</v>
      </c>
      <c r="O37" t="str">
        <f>_xlfn.XLOOKUP(AmazonSales[[#This Row],[Product ID]],ProductMaster[Product ID],ProductMaster[Category],,,1)</f>
        <v>Home</v>
      </c>
      <c r="P37" t="str">
        <f>IF(AmazonSales[[#This Row],[Delivery Date]]="","",AmazonSales[[#This Row],[Delivery Date]]-AmazonSales[[#This Row],[Order Date]])</f>
        <v/>
      </c>
      <c r="Q37" t="str">
        <f>_xlfn.XLOOKUP(AmazonSales[[#This Row],[Customer ID]],CustomerMaster[Customer ID],CustomerMaster[Customer Name],"not_found",0,1)</f>
        <v>Harper Young</v>
      </c>
      <c r="R37" t="str">
        <f>IF(AmazonSales[[#This Row],[Delivery Date]] = "","",IF(AmazonSales[[#This Row],[Delivery Date]]-AmazonSales[[#This Row],[Order Date]] &lt;= 2,"Fast","Slow"))</f>
        <v/>
      </c>
      <c r="S37" t="str">
        <f>IF(AmazonSales[[#This Row],[Cancel Date]]&lt;&gt; "","cancelled","not_cancelled")</f>
        <v>not_cancelled</v>
      </c>
      <c r="T37">
        <f>IF(AmazonSales[[#This Row],[Cancel_orders]] = "cancelled",1,0)</f>
        <v>0</v>
      </c>
      <c r="U37">
        <f>IF(AmazonSales[[#This Row],[Delivery Status]] = "Delivered",AmazonSales[[#This Row],[Total Amount]],0)</f>
        <v>0</v>
      </c>
      <c r="V37">
        <f>IF(AmazonSales[[#This Row],[Delivery_Performance]] = "Fast",1,0)</f>
        <v>0</v>
      </c>
    </row>
    <row r="38" spans="1:22" x14ac:dyDescent="0.25">
      <c r="A38" t="s">
        <v>112</v>
      </c>
      <c r="B38" s="1">
        <v>45216</v>
      </c>
      <c r="C38" s="1">
        <v>45221</v>
      </c>
      <c r="E38" t="s">
        <v>32</v>
      </c>
      <c r="F38" t="s">
        <v>90</v>
      </c>
      <c r="G38" t="s">
        <v>23</v>
      </c>
      <c r="H38">
        <v>41</v>
      </c>
      <c r="I38">
        <v>4</v>
      </c>
      <c r="J38">
        <v>164</v>
      </c>
      <c r="K38" t="s">
        <v>24</v>
      </c>
      <c r="L38" t="s">
        <v>25</v>
      </c>
      <c r="M38" t="s">
        <v>38</v>
      </c>
      <c r="N38" t="str">
        <f>IF(OR(AmazonSales[[#This Row],[Delivery Status]] = "Cancelled",AmazonSales[[#This Row],[Cancel Date]] &lt;&gt; ""),"Cancelled","Completed")</f>
        <v>Completed</v>
      </c>
      <c r="O38" t="str">
        <f>_xlfn.XLOOKUP(AmazonSales[[#This Row],[Product ID]],ProductMaster[Product ID],ProductMaster[Category],,,1)</f>
        <v>Toys</v>
      </c>
      <c r="P38">
        <f>IF(AmazonSales[[#This Row],[Delivery Date]]="","",AmazonSales[[#This Row],[Delivery Date]]-AmazonSales[[#This Row],[Order Date]])</f>
        <v>5</v>
      </c>
      <c r="Q38" t="str">
        <f>_xlfn.XLOOKUP(AmazonSales[[#This Row],[Customer ID]],CustomerMaster[Customer ID],CustomerMaster[Customer Name],"not_found",0,1)</f>
        <v>Grace Ward</v>
      </c>
      <c r="R38" t="str">
        <f>IF(AmazonSales[[#This Row],[Delivery Date]] = "","",IF(AmazonSales[[#This Row],[Delivery Date]]-AmazonSales[[#This Row],[Order Date]] &lt;= 2,"Fast","Slow"))</f>
        <v>Slow</v>
      </c>
      <c r="S38" t="str">
        <f>IF(AmazonSales[[#This Row],[Cancel Date]]&lt;&gt; "","cancelled","not_cancelled")</f>
        <v>not_cancelled</v>
      </c>
      <c r="T38">
        <f>IF(AmazonSales[[#This Row],[Cancel_orders]] = "cancelled",1,0)</f>
        <v>0</v>
      </c>
      <c r="U38">
        <f>IF(AmazonSales[[#This Row],[Delivery Status]] = "Delivered",AmazonSales[[#This Row],[Total Amount]],0)</f>
        <v>164</v>
      </c>
      <c r="V38">
        <f>IF(AmazonSales[[#This Row],[Delivery_Performance]] = "Fast",1,0)</f>
        <v>0</v>
      </c>
    </row>
    <row r="39" spans="1:22" x14ac:dyDescent="0.25">
      <c r="A39" t="s">
        <v>113</v>
      </c>
      <c r="B39" s="1">
        <v>45160</v>
      </c>
      <c r="D39" s="1">
        <v>45162</v>
      </c>
      <c r="E39" t="s">
        <v>87</v>
      </c>
      <c r="F39" t="s">
        <v>114</v>
      </c>
      <c r="G39" t="s">
        <v>16</v>
      </c>
      <c r="H39">
        <v>32</v>
      </c>
      <c r="I39">
        <v>2</v>
      </c>
      <c r="J39">
        <v>64</v>
      </c>
      <c r="K39" t="s">
        <v>46</v>
      </c>
      <c r="L39" t="s">
        <v>18</v>
      </c>
      <c r="M39" t="s">
        <v>61</v>
      </c>
      <c r="N39" t="str">
        <f>IF(OR(AmazonSales[[#This Row],[Delivery Status]] = "Cancelled",AmazonSales[[#This Row],[Cancel Date]] &lt;&gt; ""),"Cancelled","Completed")</f>
        <v>Cancelled</v>
      </c>
      <c r="O39" t="str">
        <f>_xlfn.XLOOKUP(AmazonSales[[#This Row],[Product ID]],ProductMaster[Product ID],ProductMaster[Category],,,1)</f>
        <v>Toys</v>
      </c>
      <c r="P39" t="str">
        <f>IF(AmazonSales[[#This Row],[Delivery Date]]="","",AmazonSales[[#This Row],[Delivery Date]]-AmazonSales[[#This Row],[Order Date]])</f>
        <v/>
      </c>
      <c r="Q39" t="str">
        <f>_xlfn.XLOOKUP(AmazonSales[[#This Row],[Customer ID]],CustomerMaster[Customer ID],CustomerMaster[Customer Name],"not_found",0,1)</f>
        <v>Lily Bennett</v>
      </c>
      <c r="R39" t="str">
        <f>IF(AmazonSales[[#This Row],[Delivery Date]] = "","",IF(AmazonSales[[#This Row],[Delivery Date]]-AmazonSales[[#This Row],[Order Date]] &lt;= 2,"Fast","Slow"))</f>
        <v/>
      </c>
      <c r="S39" t="str">
        <f>IF(AmazonSales[[#This Row],[Cancel Date]]&lt;&gt; "","cancelled","not_cancelled")</f>
        <v>cancelled</v>
      </c>
      <c r="T39">
        <f>IF(AmazonSales[[#This Row],[Cancel_orders]] = "cancelled",1,0)</f>
        <v>1</v>
      </c>
      <c r="U39">
        <f>IF(AmazonSales[[#This Row],[Delivery Status]] = "Delivered",AmazonSales[[#This Row],[Total Amount]],0)</f>
        <v>0</v>
      </c>
      <c r="V39">
        <f>IF(AmazonSales[[#This Row],[Delivery_Performance]] = "Fast",1,0)</f>
        <v>0</v>
      </c>
    </row>
    <row r="40" spans="1:22" x14ac:dyDescent="0.25">
      <c r="A40" t="s">
        <v>115</v>
      </c>
      <c r="B40" s="1">
        <v>45262</v>
      </c>
      <c r="E40" t="s">
        <v>116</v>
      </c>
      <c r="F40" t="s">
        <v>92</v>
      </c>
      <c r="G40" t="s">
        <v>23</v>
      </c>
      <c r="H40">
        <v>66</v>
      </c>
      <c r="I40">
        <v>2</v>
      </c>
      <c r="J40">
        <v>132</v>
      </c>
      <c r="K40" t="s">
        <v>17</v>
      </c>
      <c r="L40" t="s">
        <v>29</v>
      </c>
      <c r="M40" t="s">
        <v>19</v>
      </c>
      <c r="N40" t="str">
        <f>IF(OR(AmazonSales[[#This Row],[Delivery Status]] = "Cancelled",AmazonSales[[#This Row],[Cancel Date]] &lt;&gt; ""),"Cancelled","Completed")</f>
        <v>Completed</v>
      </c>
      <c r="O40" t="str">
        <f>_xlfn.XLOOKUP(AmazonSales[[#This Row],[Product ID]],ProductMaster[Product ID],ProductMaster[Category],,,1)</f>
        <v>Fashion</v>
      </c>
      <c r="P40" t="str">
        <f>IF(AmazonSales[[#This Row],[Delivery Date]]="","",AmazonSales[[#This Row],[Delivery Date]]-AmazonSales[[#This Row],[Order Date]])</f>
        <v/>
      </c>
      <c r="Q40" t="str">
        <f>_xlfn.XLOOKUP(AmazonSales[[#This Row],[Customer ID]],CustomerMaster[Customer ID],CustomerMaster[Customer Name],"not_found",0,1)</f>
        <v>Scarlett Murphy</v>
      </c>
      <c r="R40" t="str">
        <f>IF(AmazonSales[[#This Row],[Delivery Date]] = "","",IF(AmazonSales[[#This Row],[Delivery Date]]-AmazonSales[[#This Row],[Order Date]] &lt;= 2,"Fast","Slow"))</f>
        <v/>
      </c>
      <c r="S40" t="str">
        <f>IF(AmazonSales[[#This Row],[Cancel Date]]&lt;&gt; "","cancelled","not_cancelled")</f>
        <v>not_cancelled</v>
      </c>
      <c r="T40">
        <f>IF(AmazonSales[[#This Row],[Cancel_orders]] = "cancelled",1,0)</f>
        <v>0</v>
      </c>
      <c r="U40">
        <f>IF(AmazonSales[[#This Row],[Delivery Status]] = "Delivered",AmazonSales[[#This Row],[Total Amount]],0)</f>
        <v>0</v>
      </c>
      <c r="V40">
        <f>IF(AmazonSales[[#This Row],[Delivery_Performance]] = "Fast",1,0)</f>
        <v>0</v>
      </c>
    </row>
    <row r="41" spans="1:22" x14ac:dyDescent="0.25">
      <c r="A41" t="s">
        <v>117</v>
      </c>
      <c r="B41" s="1">
        <v>45285</v>
      </c>
      <c r="E41" t="s">
        <v>118</v>
      </c>
      <c r="F41" t="s">
        <v>119</v>
      </c>
      <c r="G41" t="s">
        <v>23</v>
      </c>
      <c r="H41">
        <v>62</v>
      </c>
      <c r="I41">
        <v>4</v>
      </c>
      <c r="J41">
        <v>248</v>
      </c>
      <c r="K41" t="s">
        <v>46</v>
      </c>
      <c r="L41" t="s">
        <v>29</v>
      </c>
      <c r="M41" t="s">
        <v>34</v>
      </c>
      <c r="N41" t="str">
        <f>IF(OR(AmazonSales[[#This Row],[Delivery Status]] = "Cancelled",AmazonSales[[#This Row],[Cancel Date]] &lt;&gt; ""),"Cancelled","Completed")</f>
        <v>Completed</v>
      </c>
      <c r="O41" t="str">
        <f>_xlfn.XLOOKUP(AmazonSales[[#This Row],[Product ID]],ProductMaster[Product ID],ProductMaster[Category],,,1)</f>
        <v>Toys</v>
      </c>
      <c r="P41" t="str">
        <f>IF(AmazonSales[[#This Row],[Delivery Date]]="","",AmazonSales[[#This Row],[Delivery Date]]-AmazonSales[[#This Row],[Order Date]])</f>
        <v/>
      </c>
      <c r="Q41" t="str">
        <f>_xlfn.XLOOKUP(AmazonSales[[#This Row],[Customer ID]],CustomerMaster[Customer ID],CustomerMaster[Customer Name],"not_found",0,1)</f>
        <v>Ava Robinson</v>
      </c>
      <c r="R41" t="str">
        <f>IF(AmazonSales[[#This Row],[Delivery Date]] = "","",IF(AmazonSales[[#This Row],[Delivery Date]]-AmazonSales[[#This Row],[Order Date]] &lt;= 2,"Fast","Slow"))</f>
        <v/>
      </c>
      <c r="S41" t="str">
        <f>IF(AmazonSales[[#This Row],[Cancel Date]]&lt;&gt; "","cancelled","not_cancelled")</f>
        <v>not_cancelled</v>
      </c>
      <c r="T41">
        <f>IF(AmazonSales[[#This Row],[Cancel_orders]] = "cancelled",1,0)</f>
        <v>0</v>
      </c>
      <c r="U41">
        <f>IF(AmazonSales[[#This Row],[Delivery Status]] = "Delivered",AmazonSales[[#This Row],[Total Amount]],0)</f>
        <v>0</v>
      </c>
      <c r="V41">
        <f>IF(AmazonSales[[#This Row],[Delivery_Performance]] = "Fast",1,0)</f>
        <v>0</v>
      </c>
    </row>
    <row r="42" spans="1:22" x14ac:dyDescent="0.25">
      <c r="A42" t="s">
        <v>120</v>
      </c>
      <c r="B42" s="1">
        <v>45192</v>
      </c>
      <c r="C42" s="1">
        <v>45199</v>
      </c>
      <c r="E42" t="s">
        <v>121</v>
      </c>
      <c r="F42" t="s">
        <v>109</v>
      </c>
      <c r="G42" t="s">
        <v>50</v>
      </c>
      <c r="H42">
        <v>173</v>
      </c>
      <c r="I42">
        <v>4</v>
      </c>
      <c r="J42">
        <v>692</v>
      </c>
      <c r="K42" t="s">
        <v>17</v>
      </c>
      <c r="L42" t="s">
        <v>25</v>
      </c>
      <c r="M42" t="s">
        <v>34</v>
      </c>
      <c r="N42" t="str">
        <f>IF(OR(AmazonSales[[#This Row],[Delivery Status]] = "Cancelled",AmazonSales[[#This Row],[Cancel Date]] &lt;&gt; ""),"Cancelled","Completed")</f>
        <v>Completed</v>
      </c>
      <c r="O42" t="str">
        <f>_xlfn.XLOOKUP(AmazonSales[[#This Row],[Product ID]],ProductMaster[Product ID],ProductMaster[Category],,,1)</f>
        <v>Electronics</v>
      </c>
      <c r="P42">
        <f>IF(AmazonSales[[#This Row],[Delivery Date]]="","",AmazonSales[[#This Row],[Delivery Date]]-AmazonSales[[#This Row],[Order Date]])</f>
        <v>7</v>
      </c>
      <c r="Q42" t="str">
        <f>_xlfn.XLOOKUP(AmazonSales[[#This Row],[Customer ID]],CustomerMaster[Customer ID],CustomerMaster[Customer Name],"not_found",0,1)</f>
        <v>James Miller</v>
      </c>
      <c r="R42" t="str">
        <f>IF(AmazonSales[[#This Row],[Delivery Date]] = "","",IF(AmazonSales[[#This Row],[Delivery Date]]-AmazonSales[[#This Row],[Order Date]] &lt;= 2,"Fast","Slow"))</f>
        <v>Slow</v>
      </c>
      <c r="S42" t="str">
        <f>IF(AmazonSales[[#This Row],[Cancel Date]]&lt;&gt; "","cancelled","not_cancelled")</f>
        <v>not_cancelled</v>
      </c>
      <c r="T42">
        <f>IF(AmazonSales[[#This Row],[Cancel_orders]] = "cancelled",1,0)</f>
        <v>0</v>
      </c>
      <c r="U42">
        <f>IF(AmazonSales[[#This Row],[Delivery Status]] = "Delivered",AmazonSales[[#This Row],[Total Amount]],0)</f>
        <v>692</v>
      </c>
      <c r="V42">
        <f>IF(AmazonSales[[#This Row],[Delivery_Performance]] = "Fast",1,0)</f>
        <v>0</v>
      </c>
    </row>
    <row r="43" spans="1:22" x14ac:dyDescent="0.25">
      <c r="A43" t="s">
        <v>122</v>
      </c>
      <c r="B43" s="1">
        <v>45123</v>
      </c>
      <c r="C43" s="1">
        <v>45125</v>
      </c>
      <c r="E43" t="s">
        <v>97</v>
      </c>
      <c r="F43" t="s">
        <v>119</v>
      </c>
      <c r="G43" t="s">
        <v>50</v>
      </c>
      <c r="H43">
        <v>63</v>
      </c>
      <c r="I43">
        <v>3</v>
      </c>
      <c r="J43">
        <v>189</v>
      </c>
      <c r="K43" t="s">
        <v>17</v>
      </c>
      <c r="L43" t="s">
        <v>25</v>
      </c>
      <c r="M43" t="s">
        <v>34</v>
      </c>
      <c r="N43" t="str">
        <f>IF(OR(AmazonSales[[#This Row],[Delivery Status]] = "Cancelled",AmazonSales[[#This Row],[Cancel Date]] &lt;&gt; ""),"Cancelled","Completed")</f>
        <v>Completed</v>
      </c>
      <c r="O43" t="str">
        <f>_xlfn.XLOOKUP(AmazonSales[[#This Row],[Product ID]],ProductMaster[Product ID],ProductMaster[Category],,,1)</f>
        <v>Toys</v>
      </c>
      <c r="P43">
        <f>IF(AmazonSales[[#This Row],[Delivery Date]]="","",AmazonSales[[#This Row],[Delivery Date]]-AmazonSales[[#This Row],[Order Date]])</f>
        <v>2</v>
      </c>
      <c r="Q43" t="str">
        <f>_xlfn.XLOOKUP(AmazonSales[[#This Row],[Customer ID]],CustomerMaster[Customer ID],CustomerMaster[Customer Name],"not_found",0,1)</f>
        <v>Liam Walker</v>
      </c>
      <c r="R43" t="str">
        <f>IF(AmazonSales[[#This Row],[Delivery Date]] = "","",IF(AmazonSales[[#This Row],[Delivery Date]]-AmazonSales[[#This Row],[Order Date]] &lt;= 2,"Fast","Slow"))</f>
        <v>Fast</v>
      </c>
      <c r="S43" t="str">
        <f>IF(AmazonSales[[#This Row],[Cancel Date]]&lt;&gt; "","cancelled","not_cancelled")</f>
        <v>not_cancelled</v>
      </c>
      <c r="T43">
        <f>IF(AmazonSales[[#This Row],[Cancel_orders]] = "cancelled",1,0)</f>
        <v>0</v>
      </c>
      <c r="U43">
        <f>IF(AmazonSales[[#This Row],[Delivery Status]] = "Delivered",AmazonSales[[#This Row],[Total Amount]],0)</f>
        <v>189</v>
      </c>
      <c r="V43">
        <f>IF(AmazonSales[[#This Row],[Delivery_Performance]] = "Fast",1,0)</f>
        <v>1</v>
      </c>
    </row>
    <row r="44" spans="1:22" x14ac:dyDescent="0.25">
      <c r="A44" t="s">
        <v>123</v>
      </c>
      <c r="B44" s="1">
        <v>44962</v>
      </c>
      <c r="D44" s="1">
        <v>44968</v>
      </c>
      <c r="E44" t="s">
        <v>89</v>
      </c>
      <c r="F44" t="s">
        <v>49</v>
      </c>
      <c r="G44" t="s">
        <v>50</v>
      </c>
      <c r="H44">
        <v>36</v>
      </c>
      <c r="I44">
        <v>3</v>
      </c>
      <c r="J44">
        <v>108</v>
      </c>
      <c r="K44" t="s">
        <v>46</v>
      </c>
      <c r="L44" t="s">
        <v>18</v>
      </c>
      <c r="M44" t="s">
        <v>30</v>
      </c>
      <c r="N44" t="str">
        <f>IF(OR(AmazonSales[[#This Row],[Delivery Status]] = "Cancelled",AmazonSales[[#This Row],[Cancel Date]] &lt;&gt; ""),"Cancelled","Completed")</f>
        <v>Cancelled</v>
      </c>
      <c r="O44" t="str">
        <f>_xlfn.XLOOKUP(AmazonSales[[#This Row],[Product ID]],ProductMaster[Product ID],ProductMaster[Category],,,1)</f>
        <v>Home</v>
      </c>
      <c r="P44" t="str">
        <f>IF(AmazonSales[[#This Row],[Delivery Date]]="","",AmazonSales[[#This Row],[Delivery Date]]-AmazonSales[[#This Row],[Order Date]])</f>
        <v/>
      </c>
      <c r="Q44" t="str">
        <f>_xlfn.XLOOKUP(AmazonSales[[#This Row],[Customer ID]],CustomerMaster[Customer ID],CustomerMaster[Customer Name],"not_found",0,1)</f>
        <v>Benjamin Clark</v>
      </c>
      <c r="R44" t="str">
        <f>IF(AmazonSales[[#This Row],[Delivery Date]] = "","",IF(AmazonSales[[#This Row],[Delivery Date]]-AmazonSales[[#This Row],[Order Date]] &lt;= 2,"Fast","Slow"))</f>
        <v/>
      </c>
      <c r="S44" t="str">
        <f>IF(AmazonSales[[#This Row],[Cancel Date]]&lt;&gt; "","cancelled","not_cancelled")</f>
        <v>cancelled</v>
      </c>
      <c r="T44">
        <f>IF(AmazonSales[[#This Row],[Cancel_orders]] = "cancelled",1,0)</f>
        <v>1</v>
      </c>
      <c r="U44">
        <f>IF(AmazonSales[[#This Row],[Delivery Status]] = "Delivered",AmazonSales[[#This Row],[Total Amount]],0)</f>
        <v>0</v>
      </c>
      <c r="V44">
        <f>IF(AmazonSales[[#This Row],[Delivery_Performance]] = "Fast",1,0)</f>
        <v>0</v>
      </c>
    </row>
    <row r="45" spans="1:22" x14ac:dyDescent="0.25">
      <c r="A45" t="s">
        <v>124</v>
      </c>
      <c r="B45" s="1">
        <v>45278</v>
      </c>
      <c r="D45" s="1">
        <v>45283</v>
      </c>
      <c r="E45" t="s">
        <v>118</v>
      </c>
      <c r="F45" t="s">
        <v>119</v>
      </c>
      <c r="G45" t="s">
        <v>45</v>
      </c>
      <c r="H45">
        <v>62</v>
      </c>
      <c r="I45">
        <v>1</v>
      </c>
      <c r="J45">
        <v>62</v>
      </c>
      <c r="K45" t="s">
        <v>17</v>
      </c>
      <c r="L45" t="s">
        <v>18</v>
      </c>
      <c r="M45" t="s">
        <v>38</v>
      </c>
      <c r="N45" t="str">
        <f>IF(OR(AmazonSales[[#This Row],[Delivery Status]] = "Cancelled",AmazonSales[[#This Row],[Cancel Date]] &lt;&gt; ""),"Cancelled","Completed")</f>
        <v>Cancelled</v>
      </c>
      <c r="O45" t="str">
        <f>_xlfn.XLOOKUP(AmazonSales[[#This Row],[Product ID]],ProductMaster[Product ID],ProductMaster[Category],,,1)</f>
        <v>Toys</v>
      </c>
      <c r="P45" t="str">
        <f>IF(AmazonSales[[#This Row],[Delivery Date]]="","",AmazonSales[[#This Row],[Delivery Date]]-AmazonSales[[#This Row],[Order Date]])</f>
        <v/>
      </c>
      <c r="Q45" t="str">
        <f>_xlfn.XLOOKUP(AmazonSales[[#This Row],[Customer ID]],CustomerMaster[Customer ID],CustomerMaster[Customer Name],"not_found",0,1)</f>
        <v>Ava Robinson</v>
      </c>
      <c r="R45" t="str">
        <f>IF(AmazonSales[[#This Row],[Delivery Date]] = "","",IF(AmazonSales[[#This Row],[Delivery Date]]-AmazonSales[[#This Row],[Order Date]] &lt;= 2,"Fast","Slow"))</f>
        <v/>
      </c>
      <c r="S45" t="str">
        <f>IF(AmazonSales[[#This Row],[Cancel Date]]&lt;&gt; "","cancelled","not_cancelled")</f>
        <v>cancelled</v>
      </c>
      <c r="T45">
        <f>IF(AmazonSales[[#This Row],[Cancel_orders]] = "cancelled",1,0)</f>
        <v>1</v>
      </c>
      <c r="U45">
        <f>IF(AmazonSales[[#This Row],[Delivery Status]] = "Delivered",AmazonSales[[#This Row],[Total Amount]],0)</f>
        <v>0</v>
      </c>
      <c r="V45">
        <f>IF(AmazonSales[[#This Row],[Delivery_Performance]] = "Fast",1,0)</f>
        <v>0</v>
      </c>
    </row>
    <row r="46" spans="1:22" x14ac:dyDescent="0.25">
      <c r="A46" t="s">
        <v>125</v>
      </c>
      <c r="B46" s="1">
        <v>45088</v>
      </c>
      <c r="D46" s="1">
        <v>45091</v>
      </c>
      <c r="E46" t="s">
        <v>43</v>
      </c>
      <c r="F46" t="s">
        <v>55</v>
      </c>
      <c r="G46" t="s">
        <v>45</v>
      </c>
      <c r="H46">
        <v>137</v>
      </c>
      <c r="I46">
        <v>5</v>
      </c>
      <c r="J46">
        <v>685</v>
      </c>
      <c r="K46" t="s">
        <v>41</v>
      </c>
      <c r="L46" t="s">
        <v>18</v>
      </c>
      <c r="M46" t="s">
        <v>61</v>
      </c>
      <c r="N46" t="str">
        <f>IF(OR(AmazonSales[[#This Row],[Delivery Status]] = "Cancelled",AmazonSales[[#This Row],[Cancel Date]] &lt;&gt; ""),"Cancelled","Completed")</f>
        <v>Cancelled</v>
      </c>
      <c r="O46" t="str">
        <f>_xlfn.XLOOKUP(AmazonSales[[#This Row],[Product ID]],ProductMaster[Product ID],ProductMaster[Category],,,1)</f>
        <v>Home</v>
      </c>
      <c r="P46" t="str">
        <f>IF(AmazonSales[[#This Row],[Delivery Date]]="","",AmazonSales[[#This Row],[Delivery Date]]-AmazonSales[[#This Row],[Order Date]])</f>
        <v/>
      </c>
      <c r="Q46" t="str">
        <f>_xlfn.XLOOKUP(AmazonSales[[#This Row],[Customer ID]],CustomerMaster[Customer ID],CustomerMaster[Customer Name],"not_found",0,1)</f>
        <v>Noah Wilson</v>
      </c>
      <c r="R46" t="str">
        <f>IF(AmazonSales[[#This Row],[Delivery Date]] = "","",IF(AmazonSales[[#This Row],[Delivery Date]]-AmazonSales[[#This Row],[Order Date]] &lt;= 2,"Fast","Slow"))</f>
        <v/>
      </c>
      <c r="S46" t="str">
        <f>IF(AmazonSales[[#This Row],[Cancel Date]]&lt;&gt; "","cancelled","not_cancelled")</f>
        <v>cancelled</v>
      </c>
      <c r="T46">
        <f>IF(AmazonSales[[#This Row],[Cancel_orders]] = "cancelled",1,0)</f>
        <v>1</v>
      </c>
      <c r="U46">
        <f>IF(AmazonSales[[#This Row],[Delivery Status]] = "Delivered",AmazonSales[[#This Row],[Total Amount]],0)</f>
        <v>0</v>
      </c>
      <c r="V46">
        <f>IF(AmazonSales[[#This Row],[Delivery_Performance]] = "Fast",1,0)</f>
        <v>0</v>
      </c>
    </row>
    <row r="47" spans="1:22" x14ac:dyDescent="0.25">
      <c r="A47" t="s">
        <v>126</v>
      </c>
      <c r="B47" s="1">
        <v>45264</v>
      </c>
      <c r="C47" s="1">
        <v>45268</v>
      </c>
      <c r="E47" t="s">
        <v>127</v>
      </c>
      <c r="F47" t="s">
        <v>67</v>
      </c>
      <c r="G47" t="s">
        <v>16</v>
      </c>
      <c r="H47">
        <v>73</v>
      </c>
      <c r="I47">
        <v>4</v>
      </c>
      <c r="J47">
        <v>292</v>
      </c>
      <c r="K47" t="s">
        <v>24</v>
      </c>
      <c r="L47" t="s">
        <v>25</v>
      </c>
      <c r="M47" t="s">
        <v>38</v>
      </c>
      <c r="N47" t="str">
        <f>IF(OR(AmazonSales[[#This Row],[Delivery Status]] = "Cancelled",AmazonSales[[#This Row],[Cancel Date]] &lt;&gt; ""),"Cancelled","Completed")</f>
        <v>Completed</v>
      </c>
      <c r="O47" t="str">
        <f>_xlfn.XLOOKUP(AmazonSales[[#This Row],[Product ID]],ProductMaster[Product ID],ProductMaster[Category],,,1)</f>
        <v>Electronics</v>
      </c>
      <c r="P47">
        <f>IF(AmazonSales[[#This Row],[Delivery Date]]="","",AmazonSales[[#This Row],[Delivery Date]]-AmazonSales[[#This Row],[Order Date]])</f>
        <v>4</v>
      </c>
      <c r="Q47" t="str">
        <f>_xlfn.XLOOKUP(AmazonSales[[#This Row],[Customer ID]],CustomerMaster[Customer ID],CustomerMaster[Customer Name],"not_found",0,1)</f>
        <v>Logan Ramirez</v>
      </c>
      <c r="R47" t="str">
        <f>IF(AmazonSales[[#This Row],[Delivery Date]] = "","",IF(AmazonSales[[#This Row],[Delivery Date]]-AmazonSales[[#This Row],[Order Date]] &lt;= 2,"Fast","Slow"))</f>
        <v>Slow</v>
      </c>
      <c r="S47" t="str">
        <f>IF(AmazonSales[[#This Row],[Cancel Date]]&lt;&gt; "","cancelled","not_cancelled")</f>
        <v>not_cancelled</v>
      </c>
      <c r="T47">
        <f>IF(AmazonSales[[#This Row],[Cancel_orders]] = "cancelled",1,0)</f>
        <v>0</v>
      </c>
      <c r="U47">
        <f>IF(AmazonSales[[#This Row],[Delivery Status]] = "Delivered",AmazonSales[[#This Row],[Total Amount]],0)</f>
        <v>292</v>
      </c>
      <c r="V47">
        <f>IF(AmazonSales[[#This Row],[Delivery_Performance]] = "Fast",1,0)</f>
        <v>0</v>
      </c>
    </row>
    <row r="48" spans="1:22" x14ac:dyDescent="0.25">
      <c r="A48" t="s">
        <v>128</v>
      </c>
      <c r="B48" s="1">
        <v>45124</v>
      </c>
      <c r="C48" s="1">
        <v>45126</v>
      </c>
      <c r="E48" t="s">
        <v>78</v>
      </c>
      <c r="F48" t="s">
        <v>44</v>
      </c>
      <c r="G48" t="s">
        <v>16</v>
      </c>
      <c r="H48">
        <v>104</v>
      </c>
      <c r="I48">
        <v>1</v>
      </c>
      <c r="J48">
        <v>104</v>
      </c>
      <c r="K48" t="s">
        <v>33</v>
      </c>
      <c r="L48" t="s">
        <v>25</v>
      </c>
      <c r="M48" t="s">
        <v>38</v>
      </c>
      <c r="N48" t="str">
        <f>IF(OR(AmazonSales[[#This Row],[Delivery Status]] = "Cancelled",AmazonSales[[#This Row],[Cancel Date]] &lt;&gt; ""),"Cancelled","Completed")</f>
        <v>Completed</v>
      </c>
      <c r="O48" t="str">
        <f>_xlfn.XLOOKUP(AmazonSales[[#This Row],[Product ID]],ProductMaster[Product ID],ProductMaster[Category],,,1)</f>
        <v>Electronics</v>
      </c>
      <c r="P48">
        <f>IF(AmazonSales[[#This Row],[Delivery Date]]="","",AmazonSales[[#This Row],[Delivery Date]]-AmazonSales[[#This Row],[Order Date]])</f>
        <v>2</v>
      </c>
      <c r="Q48" t="str">
        <f>_xlfn.XLOOKUP(AmazonSales[[#This Row],[Customer ID]],CustomerMaster[Customer ID],CustomerMaster[Customer Name],"not_found",0,1)</f>
        <v>Jacob Price</v>
      </c>
      <c r="R48" t="str">
        <f>IF(AmazonSales[[#This Row],[Delivery Date]] = "","",IF(AmazonSales[[#This Row],[Delivery Date]]-AmazonSales[[#This Row],[Order Date]] &lt;= 2,"Fast","Slow"))</f>
        <v>Fast</v>
      </c>
      <c r="S48" t="str">
        <f>IF(AmazonSales[[#This Row],[Cancel Date]]&lt;&gt; "","cancelled","not_cancelled")</f>
        <v>not_cancelled</v>
      </c>
      <c r="T48">
        <f>IF(AmazonSales[[#This Row],[Cancel_orders]] = "cancelled",1,0)</f>
        <v>0</v>
      </c>
      <c r="U48">
        <f>IF(AmazonSales[[#This Row],[Delivery Status]] = "Delivered",AmazonSales[[#This Row],[Total Amount]],0)</f>
        <v>104</v>
      </c>
      <c r="V48">
        <f>IF(AmazonSales[[#This Row],[Delivery_Performance]] = "Fast",1,0)</f>
        <v>1</v>
      </c>
    </row>
    <row r="49" spans="1:22" x14ac:dyDescent="0.25">
      <c r="A49" t="s">
        <v>129</v>
      </c>
      <c r="B49" s="1">
        <v>45218</v>
      </c>
      <c r="C49" s="1">
        <v>45223</v>
      </c>
      <c r="E49" t="s">
        <v>32</v>
      </c>
      <c r="F49" t="s">
        <v>64</v>
      </c>
      <c r="G49" t="s">
        <v>23</v>
      </c>
      <c r="H49">
        <v>97</v>
      </c>
      <c r="I49">
        <v>1</v>
      </c>
      <c r="J49">
        <v>97</v>
      </c>
      <c r="K49" t="s">
        <v>41</v>
      </c>
      <c r="L49" t="s">
        <v>25</v>
      </c>
      <c r="M49" t="s">
        <v>61</v>
      </c>
      <c r="N49" t="str">
        <f>IF(OR(AmazonSales[[#This Row],[Delivery Status]] = "Cancelled",AmazonSales[[#This Row],[Cancel Date]] &lt;&gt; ""),"Cancelled","Completed")</f>
        <v>Completed</v>
      </c>
      <c r="O49" t="str">
        <f>_xlfn.XLOOKUP(AmazonSales[[#This Row],[Product ID]],ProductMaster[Product ID],ProductMaster[Category],,,1)</f>
        <v>Fashion</v>
      </c>
      <c r="P49">
        <f>IF(AmazonSales[[#This Row],[Delivery Date]]="","",AmazonSales[[#This Row],[Delivery Date]]-AmazonSales[[#This Row],[Order Date]])</f>
        <v>5</v>
      </c>
      <c r="Q49" t="str">
        <f>_xlfn.XLOOKUP(AmazonSales[[#This Row],[Customer ID]],CustomerMaster[Customer ID],CustomerMaster[Customer Name],"not_found",0,1)</f>
        <v>Grace Ward</v>
      </c>
      <c r="R49" t="str">
        <f>IF(AmazonSales[[#This Row],[Delivery Date]] = "","",IF(AmazonSales[[#This Row],[Delivery Date]]-AmazonSales[[#This Row],[Order Date]] &lt;= 2,"Fast","Slow"))</f>
        <v>Slow</v>
      </c>
      <c r="S49" t="str">
        <f>IF(AmazonSales[[#This Row],[Cancel Date]]&lt;&gt; "","cancelled","not_cancelled")</f>
        <v>not_cancelled</v>
      </c>
      <c r="T49">
        <f>IF(AmazonSales[[#This Row],[Cancel_orders]] = "cancelled",1,0)</f>
        <v>0</v>
      </c>
      <c r="U49">
        <f>IF(AmazonSales[[#This Row],[Delivery Status]] = "Delivered",AmazonSales[[#This Row],[Total Amount]],0)</f>
        <v>97</v>
      </c>
      <c r="V49">
        <f>IF(AmazonSales[[#This Row],[Delivery_Performance]] = "Fast",1,0)</f>
        <v>0</v>
      </c>
    </row>
    <row r="50" spans="1:22" x14ac:dyDescent="0.25">
      <c r="A50" t="s">
        <v>130</v>
      </c>
      <c r="B50" s="1">
        <v>45061</v>
      </c>
      <c r="E50" t="s">
        <v>131</v>
      </c>
      <c r="F50" t="s">
        <v>67</v>
      </c>
      <c r="G50" t="s">
        <v>28</v>
      </c>
      <c r="H50">
        <v>73</v>
      </c>
      <c r="I50">
        <v>5</v>
      </c>
      <c r="J50">
        <v>365</v>
      </c>
      <c r="K50" t="s">
        <v>17</v>
      </c>
      <c r="L50" t="s">
        <v>29</v>
      </c>
      <c r="M50" t="s">
        <v>38</v>
      </c>
      <c r="N50" t="str">
        <f>IF(OR(AmazonSales[[#This Row],[Delivery Status]] = "Cancelled",AmazonSales[[#This Row],[Cancel Date]] &lt;&gt; ""),"Cancelled","Completed")</f>
        <v>Completed</v>
      </c>
      <c r="O50" t="str">
        <f>_xlfn.XLOOKUP(AmazonSales[[#This Row],[Product ID]],ProductMaster[Product ID],ProductMaster[Category],,,1)</f>
        <v>Electronics</v>
      </c>
      <c r="P50" t="str">
        <f>IF(AmazonSales[[#This Row],[Delivery Date]]="","",AmazonSales[[#This Row],[Delivery Date]]-AmazonSales[[#This Row],[Order Date]])</f>
        <v/>
      </c>
      <c r="Q50" t="str">
        <f>_xlfn.XLOOKUP(AmazonSales[[#This Row],[Customer ID]],CustomerMaster[Customer ID],CustomerMaster[Customer Name],"not_found",0,1)</f>
        <v>Zoe Mitchell</v>
      </c>
      <c r="R50" t="str">
        <f>IF(AmazonSales[[#This Row],[Delivery Date]] = "","",IF(AmazonSales[[#This Row],[Delivery Date]]-AmazonSales[[#This Row],[Order Date]] &lt;= 2,"Fast","Slow"))</f>
        <v/>
      </c>
      <c r="S50" t="str">
        <f>IF(AmazonSales[[#This Row],[Cancel Date]]&lt;&gt; "","cancelled","not_cancelled")</f>
        <v>not_cancelled</v>
      </c>
      <c r="T50">
        <f>IF(AmazonSales[[#This Row],[Cancel_orders]] = "cancelled",1,0)</f>
        <v>0</v>
      </c>
      <c r="U50">
        <f>IF(AmazonSales[[#This Row],[Delivery Status]] = "Delivered",AmazonSales[[#This Row],[Total Amount]],0)</f>
        <v>0</v>
      </c>
      <c r="V50">
        <f>IF(AmazonSales[[#This Row],[Delivery_Performance]] = "Fast",1,0)</f>
        <v>0</v>
      </c>
    </row>
    <row r="51" spans="1:22" x14ac:dyDescent="0.25">
      <c r="A51" t="s">
        <v>132</v>
      </c>
      <c r="B51" s="1">
        <v>44969</v>
      </c>
      <c r="C51" s="1">
        <v>44976</v>
      </c>
      <c r="E51" t="s">
        <v>89</v>
      </c>
      <c r="F51" t="s">
        <v>69</v>
      </c>
      <c r="G51" t="s">
        <v>23</v>
      </c>
      <c r="H51">
        <v>27</v>
      </c>
      <c r="I51">
        <v>3</v>
      </c>
      <c r="J51">
        <v>81</v>
      </c>
      <c r="K51" t="s">
        <v>41</v>
      </c>
      <c r="L51" t="s">
        <v>25</v>
      </c>
      <c r="M51" t="s">
        <v>34</v>
      </c>
      <c r="N51" t="str">
        <f>IF(OR(AmazonSales[[#This Row],[Delivery Status]] = "Cancelled",AmazonSales[[#This Row],[Cancel Date]] &lt;&gt; ""),"Cancelled","Completed")</f>
        <v>Completed</v>
      </c>
      <c r="O51" t="str">
        <f>_xlfn.XLOOKUP(AmazonSales[[#This Row],[Product ID]],ProductMaster[Product ID],ProductMaster[Category],,,1)</f>
        <v>Fashion</v>
      </c>
      <c r="P51">
        <f>IF(AmazonSales[[#This Row],[Delivery Date]]="","",AmazonSales[[#This Row],[Delivery Date]]-AmazonSales[[#This Row],[Order Date]])</f>
        <v>7</v>
      </c>
      <c r="Q51" t="str">
        <f>_xlfn.XLOOKUP(AmazonSales[[#This Row],[Customer ID]],CustomerMaster[Customer ID],CustomerMaster[Customer Name],"not_found",0,1)</f>
        <v>Benjamin Clark</v>
      </c>
      <c r="R51" t="str">
        <f>IF(AmazonSales[[#This Row],[Delivery Date]] = "","",IF(AmazonSales[[#This Row],[Delivery Date]]-AmazonSales[[#This Row],[Order Date]] &lt;= 2,"Fast","Slow"))</f>
        <v>Slow</v>
      </c>
      <c r="S51" t="str">
        <f>IF(AmazonSales[[#This Row],[Cancel Date]]&lt;&gt; "","cancelled","not_cancelled")</f>
        <v>not_cancelled</v>
      </c>
      <c r="T51">
        <f>IF(AmazonSales[[#This Row],[Cancel_orders]] = "cancelled",1,0)</f>
        <v>0</v>
      </c>
      <c r="U51">
        <f>IF(AmazonSales[[#This Row],[Delivery Status]] = "Delivered",AmazonSales[[#This Row],[Total Amount]],0)</f>
        <v>81</v>
      </c>
      <c r="V51">
        <f>IF(AmazonSales[[#This Row],[Delivery_Performance]] = "Fast",1,0)</f>
        <v>0</v>
      </c>
    </row>
    <row r="52" spans="1:22" x14ac:dyDescent="0.25">
      <c r="A52" t="s">
        <v>133</v>
      </c>
      <c r="B52" s="1">
        <v>45201</v>
      </c>
      <c r="E52" t="s">
        <v>78</v>
      </c>
      <c r="F52" t="s">
        <v>49</v>
      </c>
      <c r="G52" t="s">
        <v>16</v>
      </c>
      <c r="H52">
        <v>37</v>
      </c>
      <c r="I52">
        <v>1</v>
      </c>
      <c r="J52">
        <v>37</v>
      </c>
      <c r="K52" t="s">
        <v>17</v>
      </c>
      <c r="L52" t="s">
        <v>29</v>
      </c>
      <c r="M52" t="s">
        <v>34</v>
      </c>
      <c r="N52" t="str">
        <f>IF(OR(AmazonSales[[#This Row],[Delivery Status]] = "Cancelled",AmazonSales[[#This Row],[Cancel Date]] &lt;&gt; ""),"Cancelled","Completed")</f>
        <v>Completed</v>
      </c>
      <c r="O52" t="str">
        <f>_xlfn.XLOOKUP(AmazonSales[[#This Row],[Product ID]],ProductMaster[Product ID],ProductMaster[Category],,,1)</f>
        <v>Home</v>
      </c>
      <c r="P52" t="str">
        <f>IF(AmazonSales[[#This Row],[Delivery Date]]="","",AmazonSales[[#This Row],[Delivery Date]]-AmazonSales[[#This Row],[Order Date]])</f>
        <v/>
      </c>
      <c r="Q52" t="str">
        <f>_xlfn.XLOOKUP(AmazonSales[[#This Row],[Customer ID]],CustomerMaster[Customer ID],CustomerMaster[Customer Name],"not_found",0,1)</f>
        <v>Jacob Price</v>
      </c>
      <c r="R52" t="str">
        <f>IF(AmazonSales[[#This Row],[Delivery Date]] = "","",IF(AmazonSales[[#This Row],[Delivery Date]]-AmazonSales[[#This Row],[Order Date]] &lt;= 2,"Fast","Slow"))</f>
        <v/>
      </c>
      <c r="S52" t="str">
        <f>IF(AmazonSales[[#This Row],[Cancel Date]]&lt;&gt; "","cancelled","not_cancelled")</f>
        <v>not_cancelled</v>
      </c>
      <c r="T52">
        <f>IF(AmazonSales[[#This Row],[Cancel_orders]] = "cancelled",1,0)</f>
        <v>0</v>
      </c>
      <c r="U52">
        <f>IF(AmazonSales[[#This Row],[Delivery Status]] = "Delivered",AmazonSales[[#This Row],[Total Amount]],0)</f>
        <v>0</v>
      </c>
      <c r="V52">
        <f>IF(AmazonSales[[#This Row],[Delivery_Performance]] = "Fast",1,0)</f>
        <v>0</v>
      </c>
    </row>
    <row r="53" spans="1:22" x14ac:dyDescent="0.25">
      <c r="A53" t="s">
        <v>134</v>
      </c>
      <c r="B53" s="1">
        <v>44956</v>
      </c>
      <c r="C53" s="1">
        <v>44958</v>
      </c>
      <c r="E53" t="s">
        <v>99</v>
      </c>
      <c r="F53" t="s">
        <v>73</v>
      </c>
      <c r="G53" t="s">
        <v>16</v>
      </c>
      <c r="H53">
        <v>22</v>
      </c>
      <c r="I53">
        <v>1</v>
      </c>
      <c r="J53">
        <v>22</v>
      </c>
      <c r="K53" t="s">
        <v>46</v>
      </c>
      <c r="L53" t="s">
        <v>25</v>
      </c>
      <c r="M53" t="s">
        <v>61</v>
      </c>
      <c r="N53" t="str">
        <f>IF(OR(AmazonSales[[#This Row],[Delivery Status]] = "Cancelled",AmazonSales[[#This Row],[Cancel Date]] &lt;&gt; ""),"Cancelled","Completed")</f>
        <v>Completed</v>
      </c>
      <c r="O53" t="str">
        <f>_xlfn.XLOOKUP(AmazonSales[[#This Row],[Product ID]],ProductMaster[Product ID],ProductMaster[Category],,,1)</f>
        <v>Books</v>
      </c>
      <c r="P53">
        <f>IF(AmazonSales[[#This Row],[Delivery Date]]="","",AmazonSales[[#This Row],[Delivery Date]]-AmazonSales[[#This Row],[Order Date]])</f>
        <v>2</v>
      </c>
      <c r="Q53" t="str">
        <f>_xlfn.XLOOKUP(AmazonSales[[#This Row],[Customer ID]],CustomerMaster[Customer ID],CustomerMaster[Customer Name],"not_found",0,1)</f>
        <v>Harper Young</v>
      </c>
      <c r="R53" t="str">
        <f>IF(AmazonSales[[#This Row],[Delivery Date]] = "","",IF(AmazonSales[[#This Row],[Delivery Date]]-AmazonSales[[#This Row],[Order Date]] &lt;= 2,"Fast","Slow"))</f>
        <v>Fast</v>
      </c>
      <c r="S53" t="str">
        <f>IF(AmazonSales[[#This Row],[Cancel Date]]&lt;&gt; "","cancelled","not_cancelled")</f>
        <v>not_cancelled</v>
      </c>
      <c r="T53">
        <f>IF(AmazonSales[[#This Row],[Cancel_orders]] = "cancelled",1,0)</f>
        <v>0</v>
      </c>
      <c r="U53">
        <f>IF(AmazonSales[[#This Row],[Delivery Status]] = "Delivered",AmazonSales[[#This Row],[Total Amount]],0)</f>
        <v>22</v>
      </c>
      <c r="V53">
        <f>IF(AmazonSales[[#This Row],[Delivery_Performance]] = "Fast",1,0)</f>
        <v>1</v>
      </c>
    </row>
    <row r="54" spans="1:22" x14ac:dyDescent="0.25">
      <c r="A54" t="s">
        <v>135</v>
      </c>
      <c r="B54" s="1">
        <v>45289</v>
      </c>
      <c r="C54" s="1">
        <v>45292</v>
      </c>
      <c r="E54" t="s">
        <v>75</v>
      </c>
      <c r="F54" t="s">
        <v>111</v>
      </c>
      <c r="G54" t="s">
        <v>45</v>
      </c>
      <c r="H54">
        <v>218</v>
      </c>
      <c r="I54">
        <v>5</v>
      </c>
      <c r="J54">
        <v>1090</v>
      </c>
      <c r="K54" t="s">
        <v>33</v>
      </c>
      <c r="L54" t="s">
        <v>25</v>
      </c>
      <c r="M54" t="s">
        <v>19</v>
      </c>
      <c r="N54" t="str">
        <f>IF(OR(AmazonSales[[#This Row],[Delivery Status]] = "Cancelled",AmazonSales[[#This Row],[Cancel Date]] &lt;&gt; ""),"Cancelled","Completed")</f>
        <v>Completed</v>
      </c>
      <c r="O54" t="str">
        <f>_xlfn.XLOOKUP(AmazonSales[[#This Row],[Product ID]],ProductMaster[Product ID],ProductMaster[Category],,,1)</f>
        <v>Home</v>
      </c>
      <c r="P54">
        <f>IF(AmazonSales[[#This Row],[Delivery Date]]="","",AmazonSales[[#This Row],[Delivery Date]]-AmazonSales[[#This Row],[Order Date]])</f>
        <v>3</v>
      </c>
      <c r="Q54" t="str">
        <f>_xlfn.XLOOKUP(AmazonSales[[#This Row],[Customer ID]],CustomerMaster[Customer ID],CustomerMaster[Customer Name],"not_found",0,1)</f>
        <v>Mason Hall</v>
      </c>
      <c r="R54" t="str">
        <f>IF(AmazonSales[[#This Row],[Delivery Date]] = "","",IF(AmazonSales[[#This Row],[Delivery Date]]-AmazonSales[[#This Row],[Order Date]] &lt;= 2,"Fast","Slow"))</f>
        <v>Slow</v>
      </c>
      <c r="S54" t="str">
        <f>IF(AmazonSales[[#This Row],[Cancel Date]]&lt;&gt; "","cancelled","not_cancelled")</f>
        <v>not_cancelled</v>
      </c>
      <c r="T54">
        <f>IF(AmazonSales[[#This Row],[Cancel_orders]] = "cancelled",1,0)</f>
        <v>0</v>
      </c>
      <c r="U54">
        <f>IF(AmazonSales[[#This Row],[Delivery Status]] = "Delivered",AmazonSales[[#This Row],[Total Amount]],0)</f>
        <v>1090</v>
      </c>
      <c r="V54">
        <f>IF(AmazonSales[[#This Row],[Delivery_Performance]] = "Fast",1,0)</f>
        <v>0</v>
      </c>
    </row>
    <row r="55" spans="1:22" x14ac:dyDescent="0.25">
      <c r="A55" t="s">
        <v>136</v>
      </c>
      <c r="B55" s="1">
        <v>44991</v>
      </c>
      <c r="D55" s="1">
        <v>44998</v>
      </c>
      <c r="E55" t="s">
        <v>94</v>
      </c>
      <c r="F55" t="s">
        <v>119</v>
      </c>
      <c r="G55" t="s">
        <v>16</v>
      </c>
      <c r="H55">
        <v>64</v>
      </c>
      <c r="I55">
        <v>1</v>
      </c>
      <c r="J55">
        <v>64</v>
      </c>
      <c r="K55" t="s">
        <v>17</v>
      </c>
      <c r="L55" t="s">
        <v>18</v>
      </c>
      <c r="M55" t="s">
        <v>30</v>
      </c>
      <c r="N55" t="str">
        <f>IF(OR(AmazonSales[[#This Row],[Delivery Status]] = "Cancelled",AmazonSales[[#This Row],[Cancel Date]] &lt;&gt; ""),"Cancelled","Completed")</f>
        <v>Cancelled</v>
      </c>
      <c r="O55" t="str">
        <f>_xlfn.XLOOKUP(AmazonSales[[#This Row],[Product ID]],ProductMaster[Product ID],ProductMaster[Category],,,1)</f>
        <v>Toys</v>
      </c>
      <c r="P55" t="str">
        <f>IF(AmazonSales[[#This Row],[Delivery Date]]="","",AmazonSales[[#This Row],[Delivery Date]]-AmazonSales[[#This Row],[Order Date]])</f>
        <v/>
      </c>
      <c r="Q55" t="str">
        <f>_xlfn.XLOOKUP(AmazonSales[[#This Row],[Customer ID]],CustomerMaster[Customer ID],CustomerMaster[Customer Name],"not_found",0,1)</f>
        <v>Grace Scott</v>
      </c>
      <c r="R55" t="str">
        <f>IF(AmazonSales[[#This Row],[Delivery Date]] = "","",IF(AmazonSales[[#This Row],[Delivery Date]]-AmazonSales[[#This Row],[Order Date]] &lt;= 2,"Fast","Slow"))</f>
        <v/>
      </c>
      <c r="S55" t="str">
        <f>IF(AmazonSales[[#This Row],[Cancel Date]]&lt;&gt; "","cancelled","not_cancelled")</f>
        <v>cancelled</v>
      </c>
      <c r="T55">
        <f>IF(AmazonSales[[#This Row],[Cancel_orders]] = "cancelled",1,0)</f>
        <v>1</v>
      </c>
      <c r="U55">
        <f>IF(AmazonSales[[#This Row],[Delivery Status]] = "Delivered",AmazonSales[[#This Row],[Total Amount]],0)</f>
        <v>0</v>
      </c>
      <c r="V55">
        <f>IF(AmazonSales[[#This Row],[Delivery_Performance]] = "Fast",1,0)</f>
        <v>0</v>
      </c>
    </row>
    <row r="56" spans="1:22" x14ac:dyDescent="0.25">
      <c r="A56" t="s">
        <v>137</v>
      </c>
      <c r="B56" s="1">
        <v>44959</v>
      </c>
      <c r="C56" s="1">
        <v>44963</v>
      </c>
      <c r="E56" t="s">
        <v>103</v>
      </c>
      <c r="F56" t="s">
        <v>49</v>
      </c>
      <c r="G56" t="s">
        <v>45</v>
      </c>
      <c r="H56">
        <v>36</v>
      </c>
      <c r="I56">
        <v>4</v>
      </c>
      <c r="J56">
        <v>144</v>
      </c>
      <c r="K56" t="s">
        <v>33</v>
      </c>
      <c r="L56" t="s">
        <v>25</v>
      </c>
      <c r="M56" t="s">
        <v>38</v>
      </c>
      <c r="N56" t="str">
        <f>IF(OR(AmazonSales[[#This Row],[Delivery Status]] = "Cancelled",AmazonSales[[#This Row],[Cancel Date]] &lt;&gt; ""),"Cancelled","Completed")</f>
        <v>Completed</v>
      </c>
      <c r="O56" t="str">
        <f>_xlfn.XLOOKUP(AmazonSales[[#This Row],[Product ID]],ProductMaster[Product ID],ProductMaster[Category],,,1)</f>
        <v>Home</v>
      </c>
      <c r="P56">
        <f>IF(AmazonSales[[#This Row],[Delivery Date]]="","",AmazonSales[[#This Row],[Delivery Date]]-AmazonSales[[#This Row],[Order Date]])</f>
        <v>4</v>
      </c>
      <c r="Q56" t="str">
        <f>_xlfn.XLOOKUP(AmazonSales[[#This Row],[Customer ID]],CustomerMaster[Customer ID],CustomerMaster[Customer Name],"not_found",0,1)</f>
        <v>Emily Johnson</v>
      </c>
      <c r="R56" t="str">
        <f>IF(AmazonSales[[#This Row],[Delivery Date]] = "","",IF(AmazonSales[[#This Row],[Delivery Date]]-AmazonSales[[#This Row],[Order Date]] &lt;= 2,"Fast","Slow"))</f>
        <v>Slow</v>
      </c>
      <c r="S56" t="str">
        <f>IF(AmazonSales[[#This Row],[Cancel Date]]&lt;&gt; "","cancelled","not_cancelled")</f>
        <v>not_cancelled</v>
      </c>
      <c r="T56">
        <f>IF(AmazonSales[[#This Row],[Cancel_orders]] = "cancelled",1,0)</f>
        <v>0</v>
      </c>
      <c r="U56">
        <f>IF(AmazonSales[[#This Row],[Delivery Status]] = "Delivered",AmazonSales[[#This Row],[Total Amount]],0)</f>
        <v>144</v>
      </c>
      <c r="V56">
        <f>IF(AmazonSales[[#This Row],[Delivery_Performance]] = "Fast",1,0)</f>
        <v>0</v>
      </c>
    </row>
    <row r="57" spans="1:22" x14ac:dyDescent="0.25">
      <c r="A57" t="s">
        <v>138</v>
      </c>
      <c r="B57" s="1">
        <v>45217</v>
      </c>
      <c r="C57" s="1">
        <v>45220</v>
      </c>
      <c r="E57" t="s">
        <v>139</v>
      </c>
      <c r="F57" t="s">
        <v>119</v>
      </c>
      <c r="G57" t="s">
        <v>50</v>
      </c>
      <c r="H57">
        <v>65</v>
      </c>
      <c r="I57">
        <v>1</v>
      </c>
      <c r="J57">
        <v>65</v>
      </c>
      <c r="K57" t="s">
        <v>41</v>
      </c>
      <c r="L57" t="s">
        <v>25</v>
      </c>
      <c r="M57" t="s">
        <v>61</v>
      </c>
      <c r="N57" t="str">
        <f>IF(OR(AmazonSales[[#This Row],[Delivery Status]] = "Cancelled",AmazonSales[[#This Row],[Cancel Date]] &lt;&gt; ""),"Cancelled","Completed")</f>
        <v>Completed</v>
      </c>
      <c r="O57" t="str">
        <f>_xlfn.XLOOKUP(AmazonSales[[#This Row],[Product ID]],ProductMaster[Product ID],ProductMaster[Category],,,1)</f>
        <v>Toys</v>
      </c>
      <c r="P57">
        <f>IF(AmazonSales[[#This Row],[Delivery Date]]="","",AmazonSales[[#This Row],[Delivery Date]]-AmazonSales[[#This Row],[Order Date]])</f>
        <v>3</v>
      </c>
      <c r="Q57" t="str">
        <f>_xlfn.XLOOKUP(AmazonSales[[#This Row],[Customer ID]],CustomerMaster[Customer ID],CustomerMaster[Customer Name],"not_found",0,1)</f>
        <v>Emma King</v>
      </c>
      <c r="R57" t="str">
        <f>IF(AmazonSales[[#This Row],[Delivery Date]] = "","",IF(AmazonSales[[#This Row],[Delivery Date]]-AmazonSales[[#This Row],[Order Date]] &lt;= 2,"Fast","Slow"))</f>
        <v>Slow</v>
      </c>
      <c r="S57" t="str">
        <f>IF(AmazonSales[[#This Row],[Cancel Date]]&lt;&gt; "","cancelled","not_cancelled")</f>
        <v>not_cancelled</v>
      </c>
      <c r="T57">
        <f>IF(AmazonSales[[#This Row],[Cancel_orders]] = "cancelled",1,0)</f>
        <v>0</v>
      </c>
      <c r="U57">
        <f>IF(AmazonSales[[#This Row],[Delivery Status]] = "Delivered",AmazonSales[[#This Row],[Total Amount]],0)</f>
        <v>65</v>
      </c>
      <c r="V57">
        <f>IF(AmazonSales[[#This Row],[Delivery_Performance]] = "Fast",1,0)</f>
        <v>0</v>
      </c>
    </row>
    <row r="58" spans="1:22" x14ac:dyDescent="0.25">
      <c r="A58" t="s">
        <v>140</v>
      </c>
      <c r="B58" s="1">
        <v>44933</v>
      </c>
      <c r="C58" s="1">
        <v>44935</v>
      </c>
      <c r="E58" t="s">
        <v>80</v>
      </c>
      <c r="F58" t="s">
        <v>69</v>
      </c>
      <c r="G58" t="s">
        <v>45</v>
      </c>
      <c r="H58">
        <v>26</v>
      </c>
      <c r="I58">
        <v>1</v>
      </c>
      <c r="J58">
        <v>26</v>
      </c>
      <c r="K58" t="s">
        <v>17</v>
      </c>
      <c r="L58" t="s">
        <v>25</v>
      </c>
      <c r="M58" t="s">
        <v>19</v>
      </c>
      <c r="N58" t="str">
        <f>IF(OR(AmazonSales[[#This Row],[Delivery Status]] = "Cancelled",AmazonSales[[#This Row],[Cancel Date]] &lt;&gt; ""),"Cancelled","Completed")</f>
        <v>Completed</v>
      </c>
      <c r="O58" t="str">
        <f>_xlfn.XLOOKUP(AmazonSales[[#This Row],[Product ID]],ProductMaster[Product ID],ProductMaster[Category],,,1)</f>
        <v>Fashion</v>
      </c>
      <c r="P58">
        <f>IF(AmazonSales[[#This Row],[Delivery Date]]="","",AmazonSales[[#This Row],[Delivery Date]]-AmazonSales[[#This Row],[Order Date]])</f>
        <v>2</v>
      </c>
      <c r="Q58" t="str">
        <f>_xlfn.XLOOKUP(AmazonSales[[#This Row],[Customer ID]],CustomerMaster[Customer ID],CustomerMaster[Customer Name],"not_found",0,1)</f>
        <v>Emma King</v>
      </c>
      <c r="R58" t="str">
        <f>IF(AmazonSales[[#This Row],[Delivery Date]] = "","",IF(AmazonSales[[#This Row],[Delivery Date]]-AmazonSales[[#This Row],[Order Date]] &lt;= 2,"Fast","Slow"))</f>
        <v>Fast</v>
      </c>
      <c r="S58" t="str">
        <f>IF(AmazonSales[[#This Row],[Cancel Date]]&lt;&gt; "","cancelled","not_cancelled")</f>
        <v>not_cancelled</v>
      </c>
      <c r="T58">
        <f>IF(AmazonSales[[#This Row],[Cancel_orders]] = "cancelled",1,0)</f>
        <v>0</v>
      </c>
      <c r="U58">
        <f>IF(AmazonSales[[#This Row],[Delivery Status]] = "Delivered",AmazonSales[[#This Row],[Total Amount]],0)</f>
        <v>26</v>
      </c>
      <c r="V58">
        <f>IF(AmazonSales[[#This Row],[Delivery_Performance]] = "Fast",1,0)</f>
        <v>1</v>
      </c>
    </row>
    <row r="59" spans="1:22" x14ac:dyDescent="0.25">
      <c r="A59" t="s">
        <v>141</v>
      </c>
      <c r="B59" s="1">
        <v>45054</v>
      </c>
      <c r="E59" t="s">
        <v>14</v>
      </c>
      <c r="F59" t="s">
        <v>104</v>
      </c>
      <c r="G59" t="s">
        <v>16</v>
      </c>
      <c r="H59">
        <v>11</v>
      </c>
      <c r="I59">
        <v>5</v>
      </c>
      <c r="J59">
        <v>55</v>
      </c>
      <c r="K59" t="s">
        <v>24</v>
      </c>
      <c r="L59" t="s">
        <v>29</v>
      </c>
      <c r="M59" t="s">
        <v>61</v>
      </c>
      <c r="N59" t="str">
        <f>IF(OR(AmazonSales[[#This Row],[Delivery Status]] = "Cancelled",AmazonSales[[#This Row],[Cancel Date]] &lt;&gt; ""),"Cancelled","Completed")</f>
        <v>Completed</v>
      </c>
      <c r="O59" t="str">
        <f>_xlfn.XLOOKUP(AmazonSales[[#This Row],[Product ID]],ProductMaster[Product ID],ProductMaster[Category],,,1)</f>
        <v>Books</v>
      </c>
      <c r="P59" t="str">
        <f>IF(AmazonSales[[#This Row],[Delivery Date]]="","",AmazonSales[[#This Row],[Delivery Date]]-AmazonSales[[#This Row],[Order Date]])</f>
        <v/>
      </c>
      <c r="Q59" t="str">
        <f>_xlfn.XLOOKUP(AmazonSales[[#This Row],[Customer ID]],CustomerMaster[Customer ID],CustomerMaster[Customer Name],"not_found",0,1)</f>
        <v>Zoe Mitchell</v>
      </c>
      <c r="R59" t="str">
        <f>IF(AmazonSales[[#This Row],[Delivery Date]] = "","",IF(AmazonSales[[#This Row],[Delivery Date]]-AmazonSales[[#This Row],[Order Date]] &lt;= 2,"Fast","Slow"))</f>
        <v/>
      </c>
      <c r="S59" t="str">
        <f>IF(AmazonSales[[#This Row],[Cancel Date]]&lt;&gt; "","cancelled","not_cancelled")</f>
        <v>not_cancelled</v>
      </c>
      <c r="T59">
        <f>IF(AmazonSales[[#This Row],[Cancel_orders]] = "cancelled",1,0)</f>
        <v>0</v>
      </c>
      <c r="U59">
        <f>IF(AmazonSales[[#This Row],[Delivery Status]] = "Delivered",AmazonSales[[#This Row],[Total Amount]],0)</f>
        <v>0</v>
      </c>
      <c r="V59">
        <f>IF(AmazonSales[[#This Row],[Delivery_Performance]] = "Fast",1,0)</f>
        <v>0</v>
      </c>
    </row>
    <row r="60" spans="1:22" x14ac:dyDescent="0.25">
      <c r="A60" t="s">
        <v>142</v>
      </c>
      <c r="B60" s="1">
        <v>45018</v>
      </c>
      <c r="D60" s="1">
        <v>45021</v>
      </c>
      <c r="E60" t="s">
        <v>143</v>
      </c>
      <c r="F60" t="s">
        <v>27</v>
      </c>
      <c r="G60" t="s">
        <v>16</v>
      </c>
      <c r="H60">
        <v>195</v>
      </c>
      <c r="I60">
        <v>4</v>
      </c>
      <c r="J60">
        <v>780</v>
      </c>
      <c r="K60" t="s">
        <v>33</v>
      </c>
      <c r="L60" t="s">
        <v>18</v>
      </c>
      <c r="M60" t="s">
        <v>61</v>
      </c>
      <c r="N60" t="str">
        <f>IF(OR(AmazonSales[[#This Row],[Delivery Status]] = "Cancelled",AmazonSales[[#This Row],[Cancel Date]] &lt;&gt; ""),"Cancelled","Completed")</f>
        <v>Cancelled</v>
      </c>
      <c r="O60" t="str">
        <f>_xlfn.XLOOKUP(AmazonSales[[#This Row],[Product ID]],ProductMaster[Product ID],ProductMaster[Category],,,1)</f>
        <v>Home</v>
      </c>
      <c r="P60" t="str">
        <f>IF(AmazonSales[[#This Row],[Delivery Date]]="","",AmazonSales[[#This Row],[Delivery Date]]-AmazonSales[[#This Row],[Order Date]])</f>
        <v/>
      </c>
      <c r="Q60" t="str">
        <f>_xlfn.XLOOKUP(AmazonSales[[#This Row],[Customer ID]],CustomerMaster[Customer ID],CustomerMaster[Customer Name],"not_found",0,1)</f>
        <v>Ethan Davis</v>
      </c>
      <c r="R60" t="str">
        <f>IF(AmazonSales[[#This Row],[Delivery Date]] = "","",IF(AmazonSales[[#This Row],[Delivery Date]]-AmazonSales[[#This Row],[Order Date]] &lt;= 2,"Fast","Slow"))</f>
        <v/>
      </c>
      <c r="S60" t="str">
        <f>IF(AmazonSales[[#This Row],[Cancel Date]]&lt;&gt; "","cancelled","not_cancelled")</f>
        <v>cancelled</v>
      </c>
      <c r="T60">
        <f>IF(AmazonSales[[#This Row],[Cancel_orders]] = "cancelled",1,0)</f>
        <v>1</v>
      </c>
      <c r="U60">
        <f>IF(AmazonSales[[#This Row],[Delivery Status]] = "Delivered",AmazonSales[[#This Row],[Total Amount]],0)</f>
        <v>0</v>
      </c>
      <c r="V60">
        <f>IF(AmazonSales[[#This Row],[Delivery_Performance]] = "Fast",1,0)</f>
        <v>0</v>
      </c>
    </row>
    <row r="61" spans="1:22" x14ac:dyDescent="0.25">
      <c r="A61" t="s">
        <v>144</v>
      </c>
      <c r="B61" s="1">
        <v>45210</v>
      </c>
      <c r="D61" s="1">
        <v>45211</v>
      </c>
      <c r="E61" t="s">
        <v>48</v>
      </c>
      <c r="F61" t="s">
        <v>53</v>
      </c>
      <c r="G61" t="s">
        <v>50</v>
      </c>
      <c r="H61">
        <v>44</v>
      </c>
      <c r="I61">
        <v>5</v>
      </c>
      <c r="J61">
        <v>220</v>
      </c>
      <c r="K61" t="s">
        <v>17</v>
      </c>
      <c r="L61" t="s">
        <v>18</v>
      </c>
      <c r="M61" t="s">
        <v>30</v>
      </c>
      <c r="N61" t="str">
        <f>IF(OR(AmazonSales[[#This Row],[Delivery Status]] = "Cancelled",AmazonSales[[#This Row],[Cancel Date]] &lt;&gt; ""),"Cancelled","Completed")</f>
        <v>Cancelled</v>
      </c>
      <c r="O61" t="str">
        <f>_xlfn.XLOOKUP(AmazonSales[[#This Row],[Product ID]],ProductMaster[Product ID],ProductMaster[Category],,,1)</f>
        <v>Fashion</v>
      </c>
      <c r="P61" t="str">
        <f>IF(AmazonSales[[#This Row],[Delivery Date]]="","",AmazonSales[[#This Row],[Delivery Date]]-AmazonSales[[#This Row],[Order Date]])</f>
        <v/>
      </c>
      <c r="Q61" t="str">
        <f>_xlfn.XLOOKUP(AmazonSales[[#This Row],[Customer ID]],CustomerMaster[Customer ID],CustomerMaster[Customer Name],"not_found",0,1)</f>
        <v>Ava Robinson</v>
      </c>
      <c r="R61" t="str">
        <f>IF(AmazonSales[[#This Row],[Delivery Date]] = "","",IF(AmazonSales[[#This Row],[Delivery Date]]-AmazonSales[[#This Row],[Order Date]] &lt;= 2,"Fast","Slow"))</f>
        <v/>
      </c>
      <c r="S61" t="str">
        <f>IF(AmazonSales[[#This Row],[Cancel Date]]&lt;&gt; "","cancelled","not_cancelled")</f>
        <v>cancelled</v>
      </c>
      <c r="T61">
        <f>IF(AmazonSales[[#This Row],[Cancel_orders]] = "cancelled",1,0)</f>
        <v>1</v>
      </c>
      <c r="U61">
        <f>IF(AmazonSales[[#This Row],[Delivery Status]] = "Delivered",AmazonSales[[#This Row],[Total Amount]],0)</f>
        <v>0</v>
      </c>
      <c r="V61">
        <f>IF(AmazonSales[[#This Row],[Delivery_Performance]] = "Fast",1,0)</f>
        <v>0</v>
      </c>
    </row>
    <row r="62" spans="1:22" x14ac:dyDescent="0.25">
      <c r="A62" t="s">
        <v>145</v>
      </c>
      <c r="B62" s="1">
        <v>45179</v>
      </c>
      <c r="E62" t="s">
        <v>146</v>
      </c>
      <c r="F62" t="s">
        <v>76</v>
      </c>
      <c r="G62" t="s">
        <v>23</v>
      </c>
      <c r="H62">
        <v>69</v>
      </c>
      <c r="I62">
        <v>4</v>
      </c>
      <c r="J62">
        <v>276</v>
      </c>
      <c r="K62" t="s">
        <v>46</v>
      </c>
      <c r="L62" t="s">
        <v>29</v>
      </c>
      <c r="M62" t="s">
        <v>19</v>
      </c>
      <c r="N62" t="str">
        <f>IF(OR(AmazonSales[[#This Row],[Delivery Status]] = "Cancelled",AmazonSales[[#This Row],[Cancel Date]] &lt;&gt; ""),"Cancelled","Completed")</f>
        <v>Completed</v>
      </c>
      <c r="O62" t="str">
        <f>_xlfn.XLOOKUP(AmazonSales[[#This Row],[Product ID]],ProductMaster[Product ID],ProductMaster[Category],,,1)</f>
        <v>Books</v>
      </c>
      <c r="P62" t="str">
        <f>IF(AmazonSales[[#This Row],[Delivery Date]]="","",AmazonSales[[#This Row],[Delivery Date]]-AmazonSales[[#This Row],[Order Date]])</f>
        <v/>
      </c>
      <c r="Q62" t="str">
        <f>_xlfn.XLOOKUP(AmazonSales[[#This Row],[Customer ID]],CustomerMaster[Customer ID],CustomerMaster[Customer Name],"not_found",0,1)</f>
        <v>Scarlett Adams</v>
      </c>
      <c r="R62" t="str">
        <f>IF(AmazonSales[[#This Row],[Delivery Date]] = "","",IF(AmazonSales[[#This Row],[Delivery Date]]-AmazonSales[[#This Row],[Order Date]] &lt;= 2,"Fast","Slow"))</f>
        <v/>
      </c>
      <c r="S62" t="str">
        <f>IF(AmazonSales[[#This Row],[Cancel Date]]&lt;&gt; "","cancelled","not_cancelled")</f>
        <v>not_cancelled</v>
      </c>
      <c r="T62">
        <f>IF(AmazonSales[[#This Row],[Cancel_orders]] = "cancelled",1,0)</f>
        <v>0</v>
      </c>
      <c r="U62">
        <f>IF(AmazonSales[[#This Row],[Delivery Status]] = "Delivered",AmazonSales[[#This Row],[Total Amount]],0)</f>
        <v>0</v>
      </c>
      <c r="V62">
        <f>IF(AmazonSales[[#This Row],[Delivery_Performance]] = "Fast",1,0)</f>
        <v>0</v>
      </c>
    </row>
    <row r="63" spans="1:22" x14ac:dyDescent="0.25">
      <c r="A63" t="s">
        <v>147</v>
      </c>
      <c r="B63" s="1">
        <v>45252</v>
      </c>
      <c r="C63" s="1">
        <v>45259</v>
      </c>
      <c r="E63" t="s">
        <v>148</v>
      </c>
      <c r="F63" t="s">
        <v>81</v>
      </c>
      <c r="G63" t="s">
        <v>16</v>
      </c>
      <c r="H63">
        <v>815</v>
      </c>
      <c r="I63">
        <v>4</v>
      </c>
      <c r="J63">
        <v>3260</v>
      </c>
      <c r="K63" t="s">
        <v>24</v>
      </c>
      <c r="L63" t="s">
        <v>25</v>
      </c>
      <c r="M63" t="s">
        <v>30</v>
      </c>
      <c r="N63" t="str">
        <f>IF(OR(AmazonSales[[#This Row],[Delivery Status]] = "Cancelled",AmazonSales[[#This Row],[Cancel Date]] &lt;&gt; ""),"Cancelled","Completed")</f>
        <v>Completed</v>
      </c>
      <c r="O63" t="str">
        <f>_xlfn.XLOOKUP(AmazonSales[[#This Row],[Product ID]],ProductMaster[Product ID],ProductMaster[Category],,,1)</f>
        <v>Electronics</v>
      </c>
      <c r="P63">
        <f>IF(AmazonSales[[#This Row],[Delivery Date]]="","",AmazonSales[[#This Row],[Delivery Date]]-AmazonSales[[#This Row],[Order Date]])</f>
        <v>7</v>
      </c>
      <c r="Q63" t="str">
        <f>_xlfn.XLOOKUP(AmazonSales[[#This Row],[Customer ID]],CustomerMaster[Customer ID],CustomerMaster[Customer Name],"not_found",0,1)</f>
        <v>Elijah Lewis</v>
      </c>
      <c r="R63" t="str">
        <f>IF(AmazonSales[[#This Row],[Delivery Date]] = "","",IF(AmazonSales[[#This Row],[Delivery Date]]-AmazonSales[[#This Row],[Order Date]] &lt;= 2,"Fast","Slow"))</f>
        <v>Slow</v>
      </c>
      <c r="S63" t="str">
        <f>IF(AmazonSales[[#This Row],[Cancel Date]]&lt;&gt; "","cancelled","not_cancelled")</f>
        <v>not_cancelled</v>
      </c>
      <c r="T63">
        <f>IF(AmazonSales[[#This Row],[Cancel_orders]] = "cancelled",1,0)</f>
        <v>0</v>
      </c>
      <c r="U63">
        <f>IF(AmazonSales[[#This Row],[Delivery Status]] = "Delivered",AmazonSales[[#This Row],[Total Amount]],0)</f>
        <v>3260</v>
      </c>
      <c r="V63">
        <f>IF(AmazonSales[[#This Row],[Delivery_Performance]] = "Fast",1,0)</f>
        <v>0</v>
      </c>
    </row>
    <row r="64" spans="1:22" x14ac:dyDescent="0.25">
      <c r="A64" t="s">
        <v>149</v>
      </c>
      <c r="B64" s="1">
        <v>45048</v>
      </c>
      <c r="E64" t="s">
        <v>150</v>
      </c>
      <c r="F64" t="s">
        <v>69</v>
      </c>
      <c r="G64" t="s">
        <v>23</v>
      </c>
      <c r="H64">
        <v>27</v>
      </c>
      <c r="I64">
        <v>1</v>
      </c>
      <c r="J64">
        <v>27</v>
      </c>
      <c r="K64" t="s">
        <v>46</v>
      </c>
      <c r="L64" t="s">
        <v>29</v>
      </c>
      <c r="M64" t="s">
        <v>38</v>
      </c>
      <c r="N64" t="str">
        <f>IF(OR(AmazonSales[[#This Row],[Delivery Status]] = "Cancelled",AmazonSales[[#This Row],[Cancel Date]] &lt;&gt; ""),"Cancelled","Completed")</f>
        <v>Completed</v>
      </c>
      <c r="O64" t="str">
        <f>_xlfn.XLOOKUP(AmazonSales[[#This Row],[Product ID]],ProductMaster[Product ID],ProductMaster[Category],,,1)</f>
        <v>Fashion</v>
      </c>
      <c r="P64" t="str">
        <f>IF(AmazonSales[[#This Row],[Delivery Date]]="","",AmazonSales[[#This Row],[Delivery Date]]-AmazonSales[[#This Row],[Order Date]])</f>
        <v/>
      </c>
      <c r="Q64" t="str">
        <f>_xlfn.XLOOKUP(AmazonSales[[#This Row],[Customer ID]],CustomerMaster[Customer ID],CustomerMaster[Customer Name],"not_found",0,1)</f>
        <v>Noah Wilson</v>
      </c>
      <c r="R64" t="str">
        <f>IF(AmazonSales[[#This Row],[Delivery Date]] = "","",IF(AmazonSales[[#This Row],[Delivery Date]]-AmazonSales[[#This Row],[Order Date]] &lt;= 2,"Fast","Slow"))</f>
        <v/>
      </c>
      <c r="S64" t="str">
        <f>IF(AmazonSales[[#This Row],[Cancel Date]]&lt;&gt; "","cancelled","not_cancelled")</f>
        <v>not_cancelled</v>
      </c>
      <c r="T64">
        <f>IF(AmazonSales[[#This Row],[Cancel_orders]] = "cancelled",1,0)</f>
        <v>0</v>
      </c>
      <c r="U64">
        <f>IF(AmazonSales[[#This Row],[Delivery Status]] = "Delivered",AmazonSales[[#This Row],[Total Amount]],0)</f>
        <v>0</v>
      </c>
      <c r="V64">
        <f>IF(AmazonSales[[#This Row],[Delivery_Performance]] = "Fast",1,0)</f>
        <v>0</v>
      </c>
    </row>
    <row r="65" spans="1:22" x14ac:dyDescent="0.25">
      <c r="A65" t="s">
        <v>151</v>
      </c>
      <c r="B65" s="1">
        <v>45285</v>
      </c>
      <c r="C65" s="1">
        <v>45289</v>
      </c>
      <c r="E65" t="s">
        <v>152</v>
      </c>
      <c r="F65" t="s">
        <v>55</v>
      </c>
      <c r="G65" t="s">
        <v>50</v>
      </c>
      <c r="H65">
        <v>139</v>
      </c>
      <c r="I65">
        <v>5</v>
      </c>
      <c r="J65">
        <v>695</v>
      </c>
      <c r="K65" t="s">
        <v>17</v>
      </c>
      <c r="L65" t="s">
        <v>25</v>
      </c>
      <c r="M65" t="s">
        <v>30</v>
      </c>
      <c r="N65" t="str">
        <f>IF(OR(AmazonSales[[#This Row],[Delivery Status]] = "Cancelled",AmazonSales[[#This Row],[Cancel Date]] &lt;&gt; ""),"Cancelled","Completed")</f>
        <v>Completed</v>
      </c>
      <c r="O65" t="str">
        <f>_xlfn.XLOOKUP(AmazonSales[[#This Row],[Product ID]],ProductMaster[Product ID],ProductMaster[Category],,,1)</f>
        <v>Home</v>
      </c>
      <c r="P65">
        <f>IF(AmazonSales[[#This Row],[Delivery Date]]="","",AmazonSales[[#This Row],[Delivery Date]]-AmazonSales[[#This Row],[Order Date]])</f>
        <v>4</v>
      </c>
      <c r="Q65" t="str">
        <f>_xlfn.XLOOKUP(AmazonSales[[#This Row],[Customer ID]],CustomerMaster[Customer ID],CustomerMaster[Customer Name],"not_found",0,1)</f>
        <v>Noah Wilson</v>
      </c>
      <c r="R65" t="str">
        <f>IF(AmazonSales[[#This Row],[Delivery Date]] = "","",IF(AmazonSales[[#This Row],[Delivery Date]]-AmazonSales[[#This Row],[Order Date]] &lt;= 2,"Fast","Slow"))</f>
        <v>Slow</v>
      </c>
      <c r="S65" t="str">
        <f>IF(AmazonSales[[#This Row],[Cancel Date]]&lt;&gt; "","cancelled","not_cancelled")</f>
        <v>not_cancelled</v>
      </c>
      <c r="T65">
        <f>IF(AmazonSales[[#This Row],[Cancel_orders]] = "cancelled",1,0)</f>
        <v>0</v>
      </c>
      <c r="U65">
        <f>IF(AmazonSales[[#This Row],[Delivery Status]] = "Delivered",AmazonSales[[#This Row],[Total Amount]],0)</f>
        <v>695</v>
      </c>
      <c r="V65">
        <f>IF(AmazonSales[[#This Row],[Delivery_Performance]] = "Fast",1,0)</f>
        <v>0</v>
      </c>
    </row>
    <row r="66" spans="1:22" x14ac:dyDescent="0.25">
      <c r="A66" t="s">
        <v>153</v>
      </c>
      <c r="B66" s="1">
        <v>45217</v>
      </c>
      <c r="D66" s="1">
        <v>45219</v>
      </c>
      <c r="E66" t="s">
        <v>40</v>
      </c>
      <c r="F66" t="s">
        <v>76</v>
      </c>
      <c r="G66" t="s">
        <v>28</v>
      </c>
      <c r="H66">
        <v>69</v>
      </c>
      <c r="I66">
        <v>3</v>
      </c>
      <c r="J66">
        <v>207</v>
      </c>
      <c r="K66" t="s">
        <v>33</v>
      </c>
      <c r="L66" t="s">
        <v>18</v>
      </c>
      <c r="M66" t="s">
        <v>38</v>
      </c>
      <c r="N66" t="str">
        <f>IF(OR(AmazonSales[[#This Row],[Delivery Status]] = "Cancelled",AmazonSales[[#This Row],[Cancel Date]] &lt;&gt; ""),"Cancelled","Completed")</f>
        <v>Cancelled</v>
      </c>
      <c r="O66" t="str">
        <f>_xlfn.XLOOKUP(AmazonSales[[#This Row],[Product ID]],ProductMaster[Product ID],ProductMaster[Category],,,1)</f>
        <v>Books</v>
      </c>
      <c r="P66" t="str">
        <f>IF(AmazonSales[[#This Row],[Delivery Date]]="","",AmazonSales[[#This Row],[Delivery Date]]-AmazonSales[[#This Row],[Order Date]])</f>
        <v/>
      </c>
      <c r="Q66" t="str">
        <f>_xlfn.XLOOKUP(AmazonSales[[#This Row],[Customer ID]],CustomerMaster[Customer ID],CustomerMaster[Customer Name],"not_found",0,1)</f>
        <v>Jackson Allen</v>
      </c>
      <c r="R66" t="str">
        <f>IF(AmazonSales[[#This Row],[Delivery Date]] = "","",IF(AmazonSales[[#This Row],[Delivery Date]]-AmazonSales[[#This Row],[Order Date]] &lt;= 2,"Fast","Slow"))</f>
        <v/>
      </c>
      <c r="S66" t="str">
        <f>IF(AmazonSales[[#This Row],[Cancel Date]]&lt;&gt; "","cancelled","not_cancelled")</f>
        <v>cancelled</v>
      </c>
      <c r="T66">
        <f>IF(AmazonSales[[#This Row],[Cancel_orders]] = "cancelled",1,0)</f>
        <v>1</v>
      </c>
      <c r="U66">
        <f>IF(AmazonSales[[#This Row],[Delivery Status]] = "Delivered",AmazonSales[[#This Row],[Total Amount]],0)</f>
        <v>0</v>
      </c>
      <c r="V66">
        <f>IF(AmazonSales[[#This Row],[Delivery_Performance]] = "Fast",1,0)</f>
        <v>0</v>
      </c>
    </row>
    <row r="67" spans="1:22" x14ac:dyDescent="0.25">
      <c r="A67" t="s">
        <v>154</v>
      </c>
      <c r="B67" s="1">
        <v>45066</v>
      </c>
      <c r="D67" s="1">
        <v>45067</v>
      </c>
      <c r="E67" t="s">
        <v>40</v>
      </c>
      <c r="F67" t="s">
        <v>53</v>
      </c>
      <c r="G67" t="s">
        <v>50</v>
      </c>
      <c r="H67">
        <v>42</v>
      </c>
      <c r="I67">
        <v>1</v>
      </c>
      <c r="J67">
        <v>42</v>
      </c>
      <c r="K67" t="s">
        <v>17</v>
      </c>
      <c r="L67" t="s">
        <v>18</v>
      </c>
      <c r="M67" t="s">
        <v>19</v>
      </c>
      <c r="N67" t="str">
        <f>IF(OR(AmazonSales[[#This Row],[Delivery Status]] = "Cancelled",AmazonSales[[#This Row],[Cancel Date]] &lt;&gt; ""),"Cancelled","Completed")</f>
        <v>Cancelled</v>
      </c>
      <c r="O67" t="str">
        <f>_xlfn.XLOOKUP(AmazonSales[[#This Row],[Product ID]],ProductMaster[Product ID],ProductMaster[Category],,,1)</f>
        <v>Fashion</v>
      </c>
      <c r="P67" t="str">
        <f>IF(AmazonSales[[#This Row],[Delivery Date]]="","",AmazonSales[[#This Row],[Delivery Date]]-AmazonSales[[#This Row],[Order Date]])</f>
        <v/>
      </c>
      <c r="Q67" t="str">
        <f>_xlfn.XLOOKUP(AmazonSales[[#This Row],[Customer ID]],CustomerMaster[Customer ID],CustomerMaster[Customer Name],"not_found",0,1)</f>
        <v>Jackson Allen</v>
      </c>
      <c r="R67" t="str">
        <f>IF(AmazonSales[[#This Row],[Delivery Date]] = "","",IF(AmazonSales[[#This Row],[Delivery Date]]-AmazonSales[[#This Row],[Order Date]] &lt;= 2,"Fast","Slow"))</f>
        <v/>
      </c>
      <c r="S67" t="str">
        <f>IF(AmazonSales[[#This Row],[Cancel Date]]&lt;&gt; "","cancelled","not_cancelled")</f>
        <v>cancelled</v>
      </c>
      <c r="T67">
        <f>IF(AmazonSales[[#This Row],[Cancel_orders]] = "cancelled",1,0)</f>
        <v>1</v>
      </c>
      <c r="U67">
        <f>IF(AmazonSales[[#This Row],[Delivery Status]] = "Delivered",AmazonSales[[#This Row],[Total Amount]],0)</f>
        <v>0</v>
      </c>
      <c r="V67">
        <f>IF(AmazonSales[[#This Row],[Delivery_Performance]] = "Fast",1,0)</f>
        <v>0</v>
      </c>
    </row>
    <row r="68" spans="1:22" x14ac:dyDescent="0.25">
      <c r="A68" t="s">
        <v>155</v>
      </c>
      <c r="B68" s="1">
        <v>45135</v>
      </c>
      <c r="C68" s="1">
        <v>45137</v>
      </c>
      <c r="E68" t="s">
        <v>156</v>
      </c>
      <c r="F68" t="s">
        <v>114</v>
      </c>
      <c r="G68" t="s">
        <v>16</v>
      </c>
      <c r="H68">
        <v>31</v>
      </c>
      <c r="I68">
        <v>4</v>
      </c>
      <c r="J68">
        <v>124</v>
      </c>
      <c r="K68" t="s">
        <v>24</v>
      </c>
      <c r="L68" t="s">
        <v>25</v>
      </c>
      <c r="M68" t="s">
        <v>34</v>
      </c>
      <c r="N68" t="str">
        <f>IF(OR(AmazonSales[[#This Row],[Delivery Status]] = "Cancelled",AmazonSales[[#This Row],[Cancel Date]] &lt;&gt; ""),"Cancelled","Completed")</f>
        <v>Completed</v>
      </c>
      <c r="O68" t="str">
        <f>_xlfn.XLOOKUP(AmazonSales[[#This Row],[Product ID]],ProductMaster[Product ID],ProductMaster[Category],,,1)</f>
        <v>Toys</v>
      </c>
      <c r="P68">
        <f>IF(AmazonSales[[#This Row],[Delivery Date]]="","",AmazonSales[[#This Row],[Delivery Date]]-AmazonSales[[#This Row],[Order Date]])</f>
        <v>2</v>
      </c>
      <c r="Q68" t="str">
        <f>_xlfn.XLOOKUP(AmazonSales[[#This Row],[Customer ID]],CustomerMaster[Customer ID],CustomerMaster[Customer Name],"not_found",0,1)</f>
        <v>not_found</v>
      </c>
      <c r="R68" t="str">
        <f>IF(AmazonSales[[#This Row],[Delivery Date]] = "","",IF(AmazonSales[[#This Row],[Delivery Date]]-AmazonSales[[#This Row],[Order Date]] &lt;= 2,"Fast","Slow"))</f>
        <v>Fast</v>
      </c>
      <c r="S68" t="str">
        <f>IF(AmazonSales[[#This Row],[Cancel Date]]&lt;&gt; "","cancelled","not_cancelled")</f>
        <v>not_cancelled</v>
      </c>
      <c r="T68">
        <f>IF(AmazonSales[[#This Row],[Cancel_orders]] = "cancelled",1,0)</f>
        <v>0</v>
      </c>
      <c r="U68">
        <f>IF(AmazonSales[[#This Row],[Delivery Status]] = "Delivered",AmazonSales[[#This Row],[Total Amount]],0)</f>
        <v>124</v>
      </c>
      <c r="V68">
        <f>IF(AmazonSales[[#This Row],[Delivery_Performance]] = "Fast",1,0)</f>
        <v>1</v>
      </c>
    </row>
    <row r="69" spans="1:22" x14ac:dyDescent="0.25">
      <c r="A69" t="s">
        <v>157</v>
      </c>
      <c r="B69" s="1">
        <v>45278</v>
      </c>
      <c r="E69" t="s">
        <v>60</v>
      </c>
      <c r="F69" t="s">
        <v>44</v>
      </c>
      <c r="G69" t="s">
        <v>50</v>
      </c>
      <c r="H69">
        <v>104</v>
      </c>
      <c r="I69">
        <v>3</v>
      </c>
      <c r="J69">
        <v>312</v>
      </c>
      <c r="K69" t="s">
        <v>24</v>
      </c>
      <c r="L69" t="s">
        <v>29</v>
      </c>
      <c r="M69" t="s">
        <v>34</v>
      </c>
      <c r="N69" t="str">
        <f>IF(OR(AmazonSales[[#This Row],[Delivery Status]] = "Cancelled",AmazonSales[[#This Row],[Cancel Date]] &lt;&gt; ""),"Cancelled","Completed")</f>
        <v>Completed</v>
      </c>
      <c r="O69" t="str">
        <f>_xlfn.XLOOKUP(AmazonSales[[#This Row],[Product ID]],ProductMaster[Product ID],ProductMaster[Category],,,1)</f>
        <v>Electronics</v>
      </c>
      <c r="P69" t="str">
        <f>IF(AmazonSales[[#This Row],[Delivery Date]]="","",AmazonSales[[#This Row],[Delivery Date]]-AmazonSales[[#This Row],[Order Date]])</f>
        <v/>
      </c>
      <c r="Q69" t="str">
        <f>_xlfn.XLOOKUP(AmazonSales[[#This Row],[Customer ID]],CustomerMaster[Customer ID],CustomerMaster[Customer Name],"not_found",0,1)</f>
        <v>Emily Johnson</v>
      </c>
      <c r="R69" t="str">
        <f>IF(AmazonSales[[#This Row],[Delivery Date]] = "","",IF(AmazonSales[[#This Row],[Delivery Date]]-AmazonSales[[#This Row],[Order Date]] &lt;= 2,"Fast","Slow"))</f>
        <v/>
      </c>
      <c r="S69" t="str">
        <f>IF(AmazonSales[[#This Row],[Cancel Date]]&lt;&gt; "","cancelled","not_cancelled")</f>
        <v>not_cancelled</v>
      </c>
      <c r="T69">
        <f>IF(AmazonSales[[#This Row],[Cancel_orders]] = "cancelled",1,0)</f>
        <v>0</v>
      </c>
      <c r="U69">
        <f>IF(AmazonSales[[#This Row],[Delivery Status]] = "Delivered",AmazonSales[[#This Row],[Total Amount]],0)</f>
        <v>0</v>
      </c>
      <c r="V69">
        <f>IF(AmazonSales[[#This Row],[Delivery_Performance]] = "Fast",1,0)</f>
        <v>0</v>
      </c>
    </row>
    <row r="70" spans="1:22" x14ac:dyDescent="0.25">
      <c r="A70" t="s">
        <v>158</v>
      </c>
      <c r="B70" s="1">
        <v>45109</v>
      </c>
      <c r="D70" s="1">
        <v>45114</v>
      </c>
      <c r="E70" t="s">
        <v>32</v>
      </c>
      <c r="F70" t="s">
        <v>37</v>
      </c>
      <c r="G70" t="s">
        <v>23</v>
      </c>
      <c r="H70">
        <v>58</v>
      </c>
      <c r="I70">
        <v>2</v>
      </c>
      <c r="J70">
        <v>116</v>
      </c>
      <c r="K70" t="s">
        <v>17</v>
      </c>
      <c r="L70" t="s">
        <v>18</v>
      </c>
      <c r="M70" t="s">
        <v>30</v>
      </c>
      <c r="N70" t="str">
        <f>IF(OR(AmazonSales[[#This Row],[Delivery Status]] = "Cancelled",AmazonSales[[#This Row],[Cancel Date]] &lt;&gt; ""),"Cancelled","Completed")</f>
        <v>Cancelled</v>
      </c>
      <c r="O70" t="str">
        <f>_xlfn.XLOOKUP(AmazonSales[[#This Row],[Product ID]],ProductMaster[Product ID],ProductMaster[Category],,,1)</f>
        <v>Fashion</v>
      </c>
      <c r="P70" t="str">
        <f>IF(AmazonSales[[#This Row],[Delivery Date]]="","",AmazonSales[[#This Row],[Delivery Date]]-AmazonSales[[#This Row],[Order Date]])</f>
        <v/>
      </c>
      <c r="Q70" t="str">
        <f>_xlfn.XLOOKUP(AmazonSales[[#This Row],[Customer ID]],CustomerMaster[Customer ID],CustomerMaster[Customer Name],"not_found",0,1)</f>
        <v>Grace Ward</v>
      </c>
      <c r="R70" t="str">
        <f>IF(AmazonSales[[#This Row],[Delivery Date]] = "","",IF(AmazonSales[[#This Row],[Delivery Date]]-AmazonSales[[#This Row],[Order Date]] &lt;= 2,"Fast","Slow"))</f>
        <v/>
      </c>
      <c r="S70" t="str">
        <f>IF(AmazonSales[[#This Row],[Cancel Date]]&lt;&gt; "","cancelled","not_cancelled")</f>
        <v>cancelled</v>
      </c>
      <c r="T70">
        <f>IF(AmazonSales[[#This Row],[Cancel_orders]] = "cancelled",1,0)</f>
        <v>1</v>
      </c>
      <c r="U70">
        <f>IF(AmazonSales[[#This Row],[Delivery Status]] = "Delivered",AmazonSales[[#This Row],[Total Amount]],0)</f>
        <v>0</v>
      </c>
      <c r="V70">
        <f>IF(AmazonSales[[#This Row],[Delivery_Performance]] = "Fast",1,0)</f>
        <v>0</v>
      </c>
    </row>
    <row r="71" spans="1:22" x14ac:dyDescent="0.25">
      <c r="A71" t="s">
        <v>159</v>
      </c>
      <c r="B71" s="1">
        <v>45208</v>
      </c>
      <c r="D71" s="1">
        <v>45209</v>
      </c>
      <c r="E71" t="s">
        <v>40</v>
      </c>
      <c r="F71" t="s">
        <v>119</v>
      </c>
      <c r="G71" t="s">
        <v>50</v>
      </c>
      <c r="H71">
        <v>62</v>
      </c>
      <c r="I71">
        <v>2</v>
      </c>
      <c r="J71">
        <v>124</v>
      </c>
      <c r="K71" t="s">
        <v>46</v>
      </c>
      <c r="L71" t="s">
        <v>18</v>
      </c>
      <c r="M71" t="s">
        <v>19</v>
      </c>
      <c r="N71" t="str">
        <f>IF(OR(AmazonSales[[#This Row],[Delivery Status]] = "Cancelled",AmazonSales[[#This Row],[Cancel Date]] &lt;&gt; ""),"Cancelled","Completed")</f>
        <v>Cancelled</v>
      </c>
      <c r="O71" t="str">
        <f>_xlfn.XLOOKUP(AmazonSales[[#This Row],[Product ID]],ProductMaster[Product ID],ProductMaster[Category],,,1)</f>
        <v>Toys</v>
      </c>
      <c r="P71" t="str">
        <f>IF(AmazonSales[[#This Row],[Delivery Date]]="","",AmazonSales[[#This Row],[Delivery Date]]-AmazonSales[[#This Row],[Order Date]])</f>
        <v/>
      </c>
      <c r="Q71" t="str">
        <f>_xlfn.XLOOKUP(AmazonSales[[#This Row],[Customer ID]],CustomerMaster[Customer ID],CustomerMaster[Customer Name],"not_found",0,1)</f>
        <v>Jackson Allen</v>
      </c>
      <c r="R71" t="str">
        <f>IF(AmazonSales[[#This Row],[Delivery Date]] = "","",IF(AmazonSales[[#This Row],[Delivery Date]]-AmazonSales[[#This Row],[Order Date]] &lt;= 2,"Fast","Slow"))</f>
        <v/>
      </c>
      <c r="S71" t="str">
        <f>IF(AmazonSales[[#This Row],[Cancel Date]]&lt;&gt; "","cancelled","not_cancelled")</f>
        <v>cancelled</v>
      </c>
      <c r="T71">
        <f>IF(AmazonSales[[#This Row],[Cancel_orders]] = "cancelled",1,0)</f>
        <v>1</v>
      </c>
      <c r="U71">
        <f>IF(AmazonSales[[#This Row],[Delivery Status]] = "Delivered",AmazonSales[[#This Row],[Total Amount]],0)</f>
        <v>0</v>
      </c>
      <c r="V71">
        <f>IF(AmazonSales[[#This Row],[Delivery_Performance]] = "Fast",1,0)</f>
        <v>0</v>
      </c>
    </row>
    <row r="72" spans="1:22" x14ac:dyDescent="0.25">
      <c r="A72" t="s">
        <v>160</v>
      </c>
      <c r="B72" s="1">
        <v>45278</v>
      </c>
      <c r="C72" s="1">
        <v>45285</v>
      </c>
      <c r="E72" t="s">
        <v>118</v>
      </c>
      <c r="F72" t="s">
        <v>53</v>
      </c>
      <c r="G72" t="s">
        <v>23</v>
      </c>
      <c r="H72">
        <v>43</v>
      </c>
      <c r="I72">
        <v>1</v>
      </c>
      <c r="J72">
        <v>43</v>
      </c>
      <c r="K72" t="s">
        <v>24</v>
      </c>
      <c r="L72" t="s">
        <v>25</v>
      </c>
      <c r="M72" t="s">
        <v>38</v>
      </c>
      <c r="N72" t="str">
        <f>IF(OR(AmazonSales[[#This Row],[Delivery Status]] = "Cancelled",AmazonSales[[#This Row],[Cancel Date]] &lt;&gt; ""),"Cancelled","Completed")</f>
        <v>Completed</v>
      </c>
      <c r="O72" t="str">
        <f>_xlfn.XLOOKUP(AmazonSales[[#This Row],[Product ID]],ProductMaster[Product ID],ProductMaster[Category],,,1)</f>
        <v>Fashion</v>
      </c>
      <c r="P72">
        <f>IF(AmazonSales[[#This Row],[Delivery Date]]="","",AmazonSales[[#This Row],[Delivery Date]]-AmazonSales[[#This Row],[Order Date]])</f>
        <v>7</v>
      </c>
      <c r="Q72" t="str">
        <f>_xlfn.XLOOKUP(AmazonSales[[#This Row],[Customer ID]],CustomerMaster[Customer ID],CustomerMaster[Customer Name],"not_found",0,1)</f>
        <v>Ava Robinson</v>
      </c>
      <c r="R72" t="str">
        <f>IF(AmazonSales[[#This Row],[Delivery Date]] = "","",IF(AmazonSales[[#This Row],[Delivery Date]]-AmazonSales[[#This Row],[Order Date]] &lt;= 2,"Fast","Slow"))</f>
        <v>Slow</v>
      </c>
      <c r="S72" t="str">
        <f>IF(AmazonSales[[#This Row],[Cancel Date]]&lt;&gt; "","cancelled","not_cancelled")</f>
        <v>not_cancelled</v>
      </c>
      <c r="T72">
        <f>IF(AmazonSales[[#This Row],[Cancel_orders]] = "cancelled",1,0)</f>
        <v>0</v>
      </c>
      <c r="U72">
        <f>IF(AmazonSales[[#This Row],[Delivery Status]] = "Delivered",AmazonSales[[#This Row],[Total Amount]],0)</f>
        <v>43</v>
      </c>
      <c r="V72">
        <f>IF(AmazonSales[[#This Row],[Delivery_Performance]] = "Fast",1,0)</f>
        <v>0</v>
      </c>
    </row>
    <row r="73" spans="1:22" x14ac:dyDescent="0.25">
      <c r="A73" t="s">
        <v>161</v>
      </c>
      <c r="B73" s="1">
        <v>44992</v>
      </c>
      <c r="E73" t="s">
        <v>148</v>
      </c>
      <c r="F73" t="s">
        <v>119</v>
      </c>
      <c r="G73" t="s">
        <v>23</v>
      </c>
      <c r="H73">
        <v>62</v>
      </c>
      <c r="I73">
        <v>4</v>
      </c>
      <c r="J73">
        <v>248</v>
      </c>
      <c r="K73" t="s">
        <v>46</v>
      </c>
      <c r="L73" t="s">
        <v>29</v>
      </c>
      <c r="M73" t="s">
        <v>38</v>
      </c>
      <c r="N73" t="str">
        <f>IF(OR(AmazonSales[[#This Row],[Delivery Status]] = "Cancelled",AmazonSales[[#This Row],[Cancel Date]] &lt;&gt; ""),"Cancelled","Completed")</f>
        <v>Completed</v>
      </c>
      <c r="O73" t="str">
        <f>_xlfn.XLOOKUP(AmazonSales[[#This Row],[Product ID]],ProductMaster[Product ID],ProductMaster[Category],,,1)</f>
        <v>Toys</v>
      </c>
      <c r="P73" t="str">
        <f>IF(AmazonSales[[#This Row],[Delivery Date]]="","",AmazonSales[[#This Row],[Delivery Date]]-AmazonSales[[#This Row],[Order Date]])</f>
        <v/>
      </c>
      <c r="Q73" t="str">
        <f>_xlfn.XLOOKUP(AmazonSales[[#This Row],[Customer ID]],CustomerMaster[Customer ID],CustomerMaster[Customer Name],"not_found",0,1)</f>
        <v>Elijah Lewis</v>
      </c>
      <c r="R73" t="str">
        <f>IF(AmazonSales[[#This Row],[Delivery Date]] = "","",IF(AmazonSales[[#This Row],[Delivery Date]]-AmazonSales[[#This Row],[Order Date]] &lt;= 2,"Fast","Slow"))</f>
        <v/>
      </c>
      <c r="S73" t="str">
        <f>IF(AmazonSales[[#This Row],[Cancel Date]]&lt;&gt; "","cancelled","not_cancelled")</f>
        <v>not_cancelled</v>
      </c>
      <c r="T73">
        <f>IF(AmazonSales[[#This Row],[Cancel_orders]] = "cancelled",1,0)</f>
        <v>0</v>
      </c>
      <c r="U73">
        <f>IF(AmazonSales[[#This Row],[Delivery Status]] = "Delivered",AmazonSales[[#This Row],[Total Amount]],0)</f>
        <v>0</v>
      </c>
      <c r="V73">
        <f>IF(AmazonSales[[#This Row],[Delivery_Performance]] = "Fast",1,0)</f>
        <v>0</v>
      </c>
    </row>
    <row r="74" spans="1:22" x14ac:dyDescent="0.25">
      <c r="A74" t="s">
        <v>162</v>
      </c>
      <c r="B74" s="1">
        <v>45129</v>
      </c>
      <c r="D74" s="1">
        <v>45132</v>
      </c>
      <c r="E74" t="s">
        <v>87</v>
      </c>
      <c r="F74" t="s">
        <v>64</v>
      </c>
      <c r="G74" t="s">
        <v>16</v>
      </c>
      <c r="H74">
        <v>95</v>
      </c>
      <c r="I74">
        <v>2</v>
      </c>
      <c r="J74">
        <v>190</v>
      </c>
      <c r="K74" t="s">
        <v>33</v>
      </c>
      <c r="L74" t="s">
        <v>18</v>
      </c>
      <c r="M74" t="s">
        <v>34</v>
      </c>
      <c r="N74" t="str">
        <f>IF(OR(AmazonSales[[#This Row],[Delivery Status]] = "Cancelled",AmazonSales[[#This Row],[Cancel Date]] &lt;&gt; ""),"Cancelled","Completed")</f>
        <v>Cancelled</v>
      </c>
      <c r="O74" t="str">
        <f>_xlfn.XLOOKUP(AmazonSales[[#This Row],[Product ID]],ProductMaster[Product ID],ProductMaster[Category],,,1)</f>
        <v>Fashion</v>
      </c>
      <c r="P74" t="str">
        <f>IF(AmazonSales[[#This Row],[Delivery Date]]="","",AmazonSales[[#This Row],[Delivery Date]]-AmazonSales[[#This Row],[Order Date]])</f>
        <v/>
      </c>
      <c r="Q74" t="str">
        <f>_xlfn.XLOOKUP(AmazonSales[[#This Row],[Customer ID]],CustomerMaster[Customer ID],CustomerMaster[Customer Name],"not_found",0,1)</f>
        <v>Lily Bennett</v>
      </c>
      <c r="R74" t="str">
        <f>IF(AmazonSales[[#This Row],[Delivery Date]] = "","",IF(AmazonSales[[#This Row],[Delivery Date]]-AmazonSales[[#This Row],[Order Date]] &lt;= 2,"Fast","Slow"))</f>
        <v/>
      </c>
      <c r="S74" t="str">
        <f>IF(AmazonSales[[#This Row],[Cancel Date]]&lt;&gt; "","cancelled","not_cancelled")</f>
        <v>cancelled</v>
      </c>
      <c r="T74">
        <f>IF(AmazonSales[[#This Row],[Cancel_orders]] = "cancelled",1,0)</f>
        <v>1</v>
      </c>
      <c r="U74">
        <f>IF(AmazonSales[[#This Row],[Delivery Status]] = "Delivered",AmazonSales[[#This Row],[Total Amount]],0)</f>
        <v>0</v>
      </c>
      <c r="V74">
        <f>IF(AmazonSales[[#This Row],[Delivery_Performance]] = "Fast",1,0)</f>
        <v>0</v>
      </c>
    </row>
    <row r="75" spans="1:22" x14ac:dyDescent="0.25">
      <c r="A75" t="s">
        <v>163</v>
      </c>
      <c r="B75" s="1">
        <v>44944</v>
      </c>
      <c r="C75" s="1">
        <v>44950</v>
      </c>
      <c r="E75" t="s">
        <v>85</v>
      </c>
      <c r="F75" t="s">
        <v>49</v>
      </c>
      <c r="G75" t="s">
        <v>45</v>
      </c>
      <c r="H75">
        <v>36</v>
      </c>
      <c r="I75">
        <v>4</v>
      </c>
      <c r="J75">
        <v>144</v>
      </c>
      <c r="K75" t="s">
        <v>17</v>
      </c>
      <c r="L75" t="s">
        <v>25</v>
      </c>
      <c r="M75" t="s">
        <v>61</v>
      </c>
      <c r="N75" t="str">
        <f>IF(OR(AmazonSales[[#This Row],[Delivery Status]] = "Cancelled",AmazonSales[[#This Row],[Cancel Date]] &lt;&gt; ""),"Cancelled","Completed")</f>
        <v>Completed</v>
      </c>
      <c r="O75" t="str">
        <f>_xlfn.XLOOKUP(AmazonSales[[#This Row],[Product ID]],ProductMaster[Product ID],ProductMaster[Category],,,1)</f>
        <v>Home</v>
      </c>
      <c r="P75">
        <f>IF(AmazonSales[[#This Row],[Delivery Date]]="","",AmazonSales[[#This Row],[Delivery Date]]-AmazonSales[[#This Row],[Order Date]])</f>
        <v>6</v>
      </c>
      <c r="Q75" t="str">
        <f>_xlfn.XLOOKUP(AmazonSales[[#This Row],[Customer ID]],CustomerMaster[Customer ID],CustomerMaster[Customer Name],"not_found",0,1)</f>
        <v>Elijah Lewis</v>
      </c>
      <c r="R75" t="str">
        <f>IF(AmazonSales[[#This Row],[Delivery Date]] = "","",IF(AmazonSales[[#This Row],[Delivery Date]]-AmazonSales[[#This Row],[Order Date]] &lt;= 2,"Fast","Slow"))</f>
        <v>Slow</v>
      </c>
      <c r="S75" t="str">
        <f>IF(AmazonSales[[#This Row],[Cancel Date]]&lt;&gt; "","cancelled","not_cancelled")</f>
        <v>not_cancelled</v>
      </c>
      <c r="T75">
        <f>IF(AmazonSales[[#This Row],[Cancel_orders]] = "cancelled",1,0)</f>
        <v>0</v>
      </c>
      <c r="U75">
        <f>IF(AmazonSales[[#This Row],[Delivery Status]] = "Delivered",AmazonSales[[#This Row],[Total Amount]],0)</f>
        <v>144</v>
      </c>
      <c r="V75">
        <f>IF(AmazonSales[[#This Row],[Delivery_Performance]] = "Fast",1,0)</f>
        <v>0</v>
      </c>
    </row>
    <row r="76" spans="1:22" x14ac:dyDescent="0.25">
      <c r="A76" t="s">
        <v>164</v>
      </c>
      <c r="B76" s="1">
        <v>45070</v>
      </c>
      <c r="E76" t="s">
        <v>43</v>
      </c>
      <c r="F76" t="s">
        <v>67</v>
      </c>
      <c r="G76" t="s">
        <v>23</v>
      </c>
      <c r="H76">
        <v>73</v>
      </c>
      <c r="I76">
        <v>5</v>
      </c>
      <c r="J76">
        <v>365</v>
      </c>
      <c r="K76" t="s">
        <v>17</v>
      </c>
      <c r="L76" t="s">
        <v>29</v>
      </c>
      <c r="M76" t="s">
        <v>19</v>
      </c>
      <c r="N76" t="str">
        <f>IF(OR(AmazonSales[[#This Row],[Delivery Status]] = "Cancelled",AmazonSales[[#This Row],[Cancel Date]] &lt;&gt; ""),"Cancelled","Completed")</f>
        <v>Completed</v>
      </c>
      <c r="O76" t="str">
        <f>_xlfn.XLOOKUP(AmazonSales[[#This Row],[Product ID]],ProductMaster[Product ID],ProductMaster[Category],,,1)</f>
        <v>Electronics</v>
      </c>
      <c r="P76" t="str">
        <f>IF(AmazonSales[[#This Row],[Delivery Date]]="","",AmazonSales[[#This Row],[Delivery Date]]-AmazonSales[[#This Row],[Order Date]])</f>
        <v/>
      </c>
      <c r="Q76" t="str">
        <f>_xlfn.XLOOKUP(AmazonSales[[#This Row],[Customer ID]],CustomerMaster[Customer ID],CustomerMaster[Customer Name],"not_found",0,1)</f>
        <v>Noah Wilson</v>
      </c>
      <c r="R76" t="str">
        <f>IF(AmazonSales[[#This Row],[Delivery Date]] = "","",IF(AmazonSales[[#This Row],[Delivery Date]]-AmazonSales[[#This Row],[Order Date]] &lt;= 2,"Fast","Slow"))</f>
        <v/>
      </c>
      <c r="S76" t="str">
        <f>IF(AmazonSales[[#This Row],[Cancel Date]]&lt;&gt; "","cancelled","not_cancelled")</f>
        <v>not_cancelled</v>
      </c>
      <c r="T76">
        <f>IF(AmazonSales[[#This Row],[Cancel_orders]] = "cancelled",1,0)</f>
        <v>0</v>
      </c>
      <c r="U76">
        <f>IF(AmazonSales[[#This Row],[Delivery Status]] = "Delivered",AmazonSales[[#This Row],[Total Amount]],0)</f>
        <v>0</v>
      </c>
      <c r="V76">
        <f>IF(AmazonSales[[#This Row],[Delivery_Performance]] = "Fast",1,0)</f>
        <v>0</v>
      </c>
    </row>
    <row r="77" spans="1:22" x14ac:dyDescent="0.25">
      <c r="A77" t="s">
        <v>165</v>
      </c>
      <c r="B77" s="1">
        <v>45172</v>
      </c>
      <c r="C77" s="1">
        <v>45178</v>
      </c>
      <c r="E77" t="s">
        <v>63</v>
      </c>
      <c r="F77" t="s">
        <v>53</v>
      </c>
      <c r="G77" t="s">
        <v>16</v>
      </c>
      <c r="H77">
        <v>43</v>
      </c>
      <c r="I77">
        <v>4</v>
      </c>
      <c r="J77">
        <v>172</v>
      </c>
      <c r="K77" t="s">
        <v>46</v>
      </c>
      <c r="L77" t="s">
        <v>25</v>
      </c>
      <c r="M77" t="s">
        <v>19</v>
      </c>
      <c r="N77" t="str">
        <f>IF(OR(AmazonSales[[#This Row],[Delivery Status]] = "Cancelled",AmazonSales[[#This Row],[Cancel Date]] &lt;&gt; ""),"Cancelled","Completed")</f>
        <v>Completed</v>
      </c>
      <c r="O77" t="str">
        <f>_xlfn.XLOOKUP(AmazonSales[[#This Row],[Product ID]],ProductMaster[Product ID],ProductMaster[Category],,,1)</f>
        <v>Fashion</v>
      </c>
      <c r="P77">
        <f>IF(AmazonSales[[#This Row],[Delivery Date]]="","",AmazonSales[[#This Row],[Delivery Date]]-AmazonSales[[#This Row],[Order Date]])</f>
        <v>6</v>
      </c>
      <c r="Q77" t="str">
        <f>_xlfn.XLOOKUP(AmazonSales[[#This Row],[Customer ID]],CustomerMaster[Customer ID],CustomerMaster[Customer Name],"not_found",0,1)</f>
        <v>Charlotte Reed</v>
      </c>
      <c r="R77" t="str">
        <f>IF(AmazonSales[[#This Row],[Delivery Date]] = "","",IF(AmazonSales[[#This Row],[Delivery Date]]-AmazonSales[[#This Row],[Order Date]] &lt;= 2,"Fast","Slow"))</f>
        <v>Slow</v>
      </c>
      <c r="S77" t="str">
        <f>IF(AmazonSales[[#This Row],[Cancel Date]]&lt;&gt; "","cancelled","not_cancelled")</f>
        <v>not_cancelled</v>
      </c>
      <c r="T77">
        <f>IF(AmazonSales[[#This Row],[Cancel_orders]] = "cancelled",1,0)</f>
        <v>0</v>
      </c>
      <c r="U77">
        <f>IF(AmazonSales[[#This Row],[Delivery Status]] = "Delivered",AmazonSales[[#This Row],[Total Amount]],0)</f>
        <v>172</v>
      </c>
      <c r="V77">
        <f>IF(AmazonSales[[#This Row],[Delivery_Performance]] = "Fast",1,0)</f>
        <v>0</v>
      </c>
    </row>
    <row r="78" spans="1:22" x14ac:dyDescent="0.25">
      <c r="A78" t="s">
        <v>166</v>
      </c>
      <c r="B78" s="1">
        <v>45232</v>
      </c>
      <c r="C78" s="1">
        <v>45234</v>
      </c>
      <c r="E78" t="s">
        <v>150</v>
      </c>
      <c r="F78" t="s">
        <v>111</v>
      </c>
      <c r="G78" t="s">
        <v>50</v>
      </c>
      <c r="H78">
        <v>214</v>
      </c>
      <c r="I78">
        <v>5</v>
      </c>
      <c r="J78">
        <v>1070</v>
      </c>
      <c r="K78" t="s">
        <v>46</v>
      </c>
      <c r="L78" t="s">
        <v>25</v>
      </c>
      <c r="M78" t="s">
        <v>34</v>
      </c>
      <c r="N78" t="str">
        <f>IF(OR(AmazonSales[[#This Row],[Delivery Status]] = "Cancelled",AmazonSales[[#This Row],[Cancel Date]] &lt;&gt; ""),"Cancelled","Completed")</f>
        <v>Completed</v>
      </c>
      <c r="O78" t="str">
        <f>_xlfn.XLOOKUP(AmazonSales[[#This Row],[Product ID]],ProductMaster[Product ID],ProductMaster[Category],,,1)</f>
        <v>Home</v>
      </c>
      <c r="P78">
        <f>IF(AmazonSales[[#This Row],[Delivery Date]]="","",AmazonSales[[#This Row],[Delivery Date]]-AmazonSales[[#This Row],[Order Date]])</f>
        <v>2</v>
      </c>
      <c r="Q78" t="str">
        <f>_xlfn.XLOOKUP(AmazonSales[[#This Row],[Customer ID]],CustomerMaster[Customer ID],CustomerMaster[Customer Name],"not_found",0,1)</f>
        <v>Noah Wilson</v>
      </c>
      <c r="R78" t="str">
        <f>IF(AmazonSales[[#This Row],[Delivery Date]] = "","",IF(AmazonSales[[#This Row],[Delivery Date]]-AmazonSales[[#This Row],[Order Date]] &lt;= 2,"Fast","Slow"))</f>
        <v>Fast</v>
      </c>
      <c r="S78" t="str">
        <f>IF(AmazonSales[[#This Row],[Cancel Date]]&lt;&gt; "","cancelled","not_cancelled")</f>
        <v>not_cancelled</v>
      </c>
      <c r="T78">
        <f>IF(AmazonSales[[#This Row],[Cancel_orders]] = "cancelled",1,0)</f>
        <v>0</v>
      </c>
      <c r="U78">
        <f>IF(AmazonSales[[#This Row],[Delivery Status]] = "Delivered",AmazonSales[[#This Row],[Total Amount]],0)</f>
        <v>1070</v>
      </c>
      <c r="V78">
        <f>IF(AmazonSales[[#This Row],[Delivery_Performance]] = "Fast",1,0)</f>
        <v>1</v>
      </c>
    </row>
    <row r="79" spans="1:22" x14ac:dyDescent="0.25">
      <c r="A79" t="s">
        <v>167</v>
      </c>
      <c r="B79" s="1">
        <v>45263</v>
      </c>
      <c r="D79" s="1">
        <v>45266</v>
      </c>
      <c r="E79" t="s">
        <v>152</v>
      </c>
      <c r="F79" t="s">
        <v>90</v>
      </c>
      <c r="G79" t="s">
        <v>45</v>
      </c>
      <c r="H79">
        <v>42</v>
      </c>
      <c r="I79">
        <v>2</v>
      </c>
      <c r="J79">
        <v>84</v>
      </c>
      <c r="K79" t="s">
        <v>17</v>
      </c>
      <c r="L79" t="s">
        <v>18</v>
      </c>
      <c r="M79" t="s">
        <v>34</v>
      </c>
      <c r="N79" t="str">
        <f>IF(OR(AmazonSales[[#This Row],[Delivery Status]] = "Cancelled",AmazonSales[[#This Row],[Cancel Date]] &lt;&gt; ""),"Cancelled","Completed")</f>
        <v>Cancelled</v>
      </c>
      <c r="O79" t="str">
        <f>_xlfn.XLOOKUP(AmazonSales[[#This Row],[Product ID]],ProductMaster[Product ID],ProductMaster[Category],,,1)</f>
        <v>Toys</v>
      </c>
      <c r="P79" t="str">
        <f>IF(AmazonSales[[#This Row],[Delivery Date]]="","",AmazonSales[[#This Row],[Delivery Date]]-AmazonSales[[#This Row],[Order Date]])</f>
        <v/>
      </c>
      <c r="Q79" t="str">
        <f>_xlfn.XLOOKUP(AmazonSales[[#This Row],[Customer ID]],CustomerMaster[Customer ID],CustomerMaster[Customer Name],"not_found",0,1)</f>
        <v>Noah Wilson</v>
      </c>
      <c r="R79" t="str">
        <f>IF(AmazonSales[[#This Row],[Delivery Date]] = "","",IF(AmazonSales[[#This Row],[Delivery Date]]-AmazonSales[[#This Row],[Order Date]] &lt;= 2,"Fast","Slow"))</f>
        <v/>
      </c>
      <c r="S79" t="str">
        <f>IF(AmazonSales[[#This Row],[Cancel Date]]&lt;&gt; "","cancelled","not_cancelled")</f>
        <v>cancelled</v>
      </c>
      <c r="T79">
        <f>IF(AmazonSales[[#This Row],[Cancel_orders]] = "cancelled",1,0)</f>
        <v>1</v>
      </c>
      <c r="U79">
        <f>IF(AmazonSales[[#This Row],[Delivery Status]] = "Delivered",AmazonSales[[#This Row],[Total Amount]],0)</f>
        <v>0</v>
      </c>
      <c r="V79">
        <f>IF(AmazonSales[[#This Row],[Delivery_Performance]] = "Fast",1,0)</f>
        <v>0</v>
      </c>
    </row>
    <row r="80" spans="1:22" x14ac:dyDescent="0.25">
      <c r="A80" t="s">
        <v>168</v>
      </c>
      <c r="B80" s="1">
        <v>45017</v>
      </c>
      <c r="E80" t="s">
        <v>152</v>
      </c>
      <c r="F80" t="s">
        <v>15</v>
      </c>
      <c r="G80" t="s">
        <v>16</v>
      </c>
      <c r="H80">
        <v>46</v>
      </c>
      <c r="I80">
        <v>1</v>
      </c>
      <c r="J80">
        <v>46</v>
      </c>
      <c r="K80" t="s">
        <v>41</v>
      </c>
      <c r="L80" t="s">
        <v>29</v>
      </c>
      <c r="M80" t="s">
        <v>34</v>
      </c>
      <c r="N80" t="str">
        <f>IF(OR(AmazonSales[[#This Row],[Delivery Status]] = "Cancelled",AmazonSales[[#This Row],[Cancel Date]] &lt;&gt; ""),"Cancelled","Completed")</f>
        <v>Completed</v>
      </c>
      <c r="O80" t="str">
        <f>_xlfn.XLOOKUP(AmazonSales[[#This Row],[Product ID]],ProductMaster[Product ID],ProductMaster[Category],,,1)</f>
        <v>Home</v>
      </c>
      <c r="P80" t="str">
        <f>IF(AmazonSales[[#This Row],[Delivery Date]]="","",AmazonSales[[#This Row],[Delivery Date]]-AmazonSales[[#This Row],[Order Date]])</f>
        <v/>
      </c>
      <c r="Q80" t="str">
        <f>_xlfn.XLOOKUP(AmazonSales[[#This Row],[Customer ID]],CustomerMaster[Customer ID],CustomerMaster[Customer Name],"not_found",0,1)</f>
        <v>Noah Wilson</v>
      </c>
      <c r="R80" t="str">
        <f>IF(AmazonSales[[#This Row],[Delivery Date]] = "","",IF(AmazonSales[[#This Row],[Delivery Date]]-AmazonSales[[#This Row],[Order Date]] &lt;= 2,"Fast","Slow"))</f>
        <v/>
      </c>
      <c r="S80" t="str">
        <f>IF(AmazonSales[[#This Row],[Cancel Date]]&lt;&gt; "","cancelled","not_cancelled")</f>
        <v>not_cancelled</v>
      </c>
      <c r="T80">
        <f>IF(AmazonSales[[#This Row],[Cancel_orders]] = "cancelled",1,0)</f>
        <v>0</v>
      </c>
      <c r="U80">
        <f>IF(AmazonSales[[#This Row],[Delivery Status]] = "Delivered",AmazonSales[[#This Row],[Total Amount]],0)</f>
        <v>0</v>
      </c>
      <c r="V80">
        <f>IF(AmazonSales[[#This Row],[Delivery_Performance]] = "Fast",1,0)</f>
        <v>0</v>
      </c>
    </row>
    <row r="81" spans="1:22" x14ac:dyDescent="0.25">
      <c r="A81" t="s">
        <v>169</v>
      </c>
      <c r="B81" s="1">
        <v>45215</v>
      </c>
      <c r="C81" s="1">
        <v>45218</v>
      </c>
      <c r="E81" t="s">
        <v>108</v>
      </c>
      <c r="F81" t="s">
        <v>22</v>
      </c>
      <c r="G81" t="s">
        <v>23</v>
      </c>
      <c r="H81">
        <v>95</v>
      </c>
      <c r="I81">
        <v>4</v>
      </c>
      <c r="J81">
        <v>380</v>
      </c>
      <c r="K81" t="s">
        <v>24</v>
      </c>
      <c r="L81" t="s">
        <v>25</v>
      </c>
      <c r="M81" t="s">
        <v>34</v>
      </c>
      <c r="N81" t="str">
        <f>IF(OR(AmazonSales[[#This Row],[Delivery Status]] = "Cancelled",AmazonSales[[#This Row],[Cancel Date]] &lt;&gt; ""),"Cancelled","Completed")</f>
        <v>Completed</v>
      </c>
      <c r="O81" t="str">
        <f>_xlfn.XLOOKUP(AmazonSales[[#This Row],[Product ID]],ProductMaster[Product ID],ProductMaster[Category],,,1)</f>
        <v>Toys</v>
      </c>
      <c r="P81">
        <f>IF(AmazonSales[[#This Row],[Delivery Date]]="","",AmazonSales[[#This Row],[Delivery Date]]-AmazonSales[[#This Row],[Order Date]])</f>
        <v>3</v>
      </c>
      <c r="Q81" t="str">
        <f>_xlfn.XLOOKUP(AmazonSales[[#This Row],[Customer ID]],CustomerMaster[Customer ID],CustomerMaster[Customer Name],"not_found",0,1)</f>
        <v>Luke Gray</v>
      </c>
      <c r="R81" t="str">
        <f>IF(AmazonSales[[#This Row],[Delivery Date]] = "","",IF(AmazonSales[[#This Row],[Delivery Date]]-AmazonSales[[#This Row],[Order Date]] &lt;= 2,"Fast","Slow"))</f>
        <v>Slow</v>
      </c>
      <c r="S81" t="str">
        <f>IF(AmazonSales[[#This Row],[Cancel Date]]&lt;&gt; "","cancelled","not_cancelled")</f>
        <v>not_cancelled</v>
      </c>
      <c r="T81">
        <f>IF(AmazonSales[[#This Row],[Cancel_orders]] = "cancelled",1,0)</f>
        <v>0</v>
      </c>
      <c r="U81">
        <f>IF(AmazonSales[[#This Row],[Delivery Status]] = "Delivered",AmazonSales[[#This Row],[Total Amount]],0)</f>
        <v>380</v>
      </c>
      <c r="V81">
        <f>IF(AmazonSales[[#This Row],[Delivery_Performance]] = "Fast",1,0)</f>
        <v>0</v>
      </c>
    </row>
    <row r="82" spans="1:22" x14ac:dyDescent="0.25">
      <c r="A82" t="s">
        <v>170</v>
      </c>
      <c r="B82" s="1">
        <v>45235</v>
      </c>
      <c r="E82" t="s">
        <v>121</v>
      </c>
      <c r="F82" t="s">
        <v>109</v>
      </c>
      <c r="G82" t="s">
        <v>50</v>
      </c>
      <c r="H82">
        <v>174</v>
      </c>
      <c r="I82">
        <v>2</v>
      </c>
      <c r="J82">
        <v>348</v>
      </c>
      <c r="K82" t="s">
        <v>33</v>
      </c>
      <c r="L82" t="s">
        <v>29</v>
      </c>
      <c r="M82" t="s">
        <v>34</v>
      </c>
      <c r="N82" t="str">
        <f>IF(OR(AmazonSales[[#This Row],[Delivery Status]] = "Cancelled",AmazonSales[[#This Row],[Cancel Date]] &lt;&gt; ""),"Cancelled","Completed")</f>
        <v>Completed</v>
      </c>
      <c r="O82" t="str">
        <f>_xlfn.XLOOKUP(AmazonSales[[#This Row],[Product ID]],ProductMaster[Product ID],ProductMaster[Category],,,1)</f>
        <v>Electronics</v>
      </c>
      <c r="P82" t="str">
        <f>IF(AmazonSales[[#This Row],[Delivery Date]]="","",AmazonSales[[#This Row],[Delivery Date]]-AmazonSales[[#This Row],[Order Date]])</f>
        <v/>
      </c>
      <c r="Q82" t="str">
        <f>_xlfn.XLOOKUP(AmazonSales[[#This Row],[Customer ID]],CustomerMaster[Customer ID],CustomerMaster[Customer Name],"not_found",0,1)</f>
        <v>James Miller</v>
      </c>
      <c r="R82" t="str">
        <f>IF(AmazonSales[[#This Row],[Delivery Date]] = "","",IF(AmazonSales[[#This Row],[Delivery Date]]-AmazonSales[[#This Row],[Order Date]] &lt;= 2,"Fast","Slow"))</f>
        <v/>
      </c>
      <c r="S82" t="str">
        <f>IF(AmazonSales[[#This Row],[Cancel Date]]&lt;&gt; "","cancelled","not_cancelled")</f>
        <v>not_cancelled</v>
      </c>
      <c r="T82">
        <f>IF(AmazonSales[[#This Row],[Cancel_orders]] = "cancelled",1,0)</f>
        <v>0</v>
      </c>
      <c r="U82">
        <f>IF(AmazonSales[[#This Row],[Delivery Status]] = "Delivered",AmazonSales[[#This Row],[Total Amount]],0)</f>
        <v>0</v>
      </c>
      <c r="V82">
        <f>IF(AmazonSales[[#This Row],[Delivery_Performance]] = "Fast",1,0)</f>
        <v>0</v>
      </c>
    </row>
    <row r="83" spans="1:22" x14ac:dyDescent="0.25">
      <c r="A83" t="s">
        <v>171</v>
      </c>
      <c r="B83" s="1">
        <v>45092</v>
      </c>
      <c r="D83" s="1">
        <v>45095</v>
      </c>
      <c r="E83" t="s">
        <v>57</v>
      </c>
      <c r="F83" t="s">
        <v>69</v>
      </c>
      <c r="G83" t="s">
        <v>16</v>
      </c>
      <c r="H83">
        <v>27</v>
      </c>
      <c r="I83">
        <v>5</v>
      </c>
      <c r="J83">
        <v>135</v>
      </c>
      <c r="K83" t="s">
        <v>24</v>
      </c>
      <c r="L83" t="s">
        <v>18</v>
      </c>
      <c r="M83" t="s">
        <v>38</v>
      </c>
      <c r="N83" t="str">
        <f>IF(OR(AmazonSales[[#This Row],[Delivery Status]] = "Cancelled",AmazonSales[[#This Row],[Cancel Date]] &lt;&gt; ""),"Cancelled","Completed")</f>
        <v>Cancelled</v>
      </c>
      <c r="O83" t="str">
        <f>_xlfn.XLOOKUP(AmazonSales[[#This Row],[Product ID]],ProductMaster[Product ID],ProductMaster[Category],,,1)</f>
        <v>Fashion</v>
      </c>
      <c r="P83" t="str">
        <f>IF(AmazonSales[[#This Row],[Delivery Date]]="","",AmazonSales[[#This Row],[Delivery Date]]-AmazonSales[[#This Row],[Order Date]])</f>
        <v/>
      </c>
      <c r="Q83" t="str">
        <f>_xlfn.XLOOKUP(AmazonSales[[#This Row],[Customer ID]],CustomerMaster[Customer ID],CustomerMaster[Customer Name],"not_found",0,1)</f>
        <v>Emily Johnson</v>
      </c>
      <c r="R83" t="str">
        <f>IF(AmazonSales[[#This Row],[Delivery Date]] = "","",IF(AmazonSales[[#This Row],[Delivery Date]]-AmazonSales[[#This Row],[Order Date]] &lt;= 2,"Fast","Slow"))</f>
        <v/>
      </c>
      <c r="S83" t="str">
        <f>IF(AmazonSales[[#This Row],[Cancel Date]]&lt;&gt; "","cancelled","not_cancelled")</f>
        <v>cancelled</v>
      </c>
      <c r="T83">
        <f>IF(AmazonSales[[#This Row],[Cancel_orders]] = "cancelled",1,0)</f>
        <v>1</v>
      </c>
      <c r="U83">
        <f>IF(AmazonSales[[#This Row],[Delivery Status]] = "Delivered",AmazonSales[[#This Row],[Total Amount]],0)</f>
        <v>0</v>
      </c>
      <c r="V83">
        <f>IF(AmazonSales[[#This Row],[Delivery_Performance]] = "Fast",1,0)</f>
        <v>0</v>
      </c>
    </row>
    <row r="84" spans="1:22" x14ac:dyDescent="0.25">
      <c r="A84" t="s">
        <v>172</v>
      </c>
      <c r="B84" s="1">
        <v>45227</v>
      </c>
      <c r="C84" s="1">
        <v>45229</v>
      </c>
      <c r="E84" t="s">
        <v>14</v>
      </c>
      <c r="F84" t="s">
        <v>69</v>
      </c>
      <c r="G84" t="s">
        <v>28</v>
      </c>
      <c r="H84">
        <v>27</v>
      </c>
      <c r="I84">
        <v>4</v>
      </c>
      <c r="J84">
        <v>108</v>
      </c>
      <c r="K84" t="s">
        <v>33</v>
      </c>
      <c r="L84" t="s">
        <v>25</v>
      </c>
      <c r="M84" t="s">
        <v>30</v>
      </c>
      <c r="N84" t="str">
        <f>IF(OR(AmazonSales[[#This Row],[Delivery Status]] = "Cancelled",AmazonSales[[#This Row],[Cancel Date]] &lt;&gt; ""),"Cancelled","Completed")</f>
        <v>Completed</v>
      </c>
      <c r="O84" t="str">
        <f>_xlfn.XLOOKUP(AmazonSales[[#This Row],[Product ID]],ProductMaster[Product ID],ProductMaster[Category],,,1)</f>
        <v>Fashion</v>
      </c>
      <c r="P84">
        <f>IF(AmazonSales[[#This Row],[Delivery Date]]="","",AmazonSales[[#This Row],[Delivery Date]]-AmazonSales[[#This Row],[Order Date]])</f>
        <v>2</v>
      </c>
      <c r="Q84" t="str">
        <f>_xlfn.XLOOKUP(AmazonSales[[#This Row],[Customer ID]],CustomerMaster[Customer ID],CustomerMaster[Customer Name],"not_found",0,1)</f>
        <v>Zoe Mitchell</v>
      </c>
      <c r="R84" t="str">
        <f>IF(AmazonSales[[#This Row],[Delivery Date]] = "","",IF(AmazonSales[[#This Row],[Delivery Date]]-AmazonSales[[#This Row],[Order Date]] &lt;= 2,"Fast","Slow"))</f>
        <v>Fast</v>
      </c>
      <c r="S84" t="str">
        <f>IF(AmazonSales[[#This Row],[Cancel Date]]&lt;&gt; "","cancelled","not_cancelled")</f>
        <v>not_cancelled</v>
      </c>
      <c r="T84">
        <f>IF(AmazonSales[[#This Row],[Cancel_orders]] = "cancelled",1,0)</f>
        <v>0</v>
      </c>
      <c r="U84">
        <f>IF(AmazonSales[[#This Row],[Delivery Status]] = "Delivered",AmazonSales[[#This Row],[Total Amount]],0)</f>
        <v>108</v>
      </c>
      <c r="V84">
        <f>IF(AmazonSales[[#This Row],[Delivery_Performance]] = "Fast",1,0)</f>
        <v>1</v>
      </c>
    </row>
    <row r="85" spans="1:22" x14ac:dyDescent="0.25">
      <c r="A85" t="s">
        <v>173</v>
      </c>
      <c r="B85" s="1">
        <v>45282</v>
      </c>
      <c r="E85" t="s">
        <v>174</v>
      </c>
      <c r="F85" t="s">
        <v>92</v>
      </c>
      <c r="G85" t="s">
        <v>28</v>
      </c>
      <c r="H85">
        <v>65</v>
      </c>
      <c r="I85">
        <v>2</v>
      </c>
      <c r="J85">
        <v>130</v>
      </c>
      <c r="K85" t="s">
        <v>33</v>
      </c>
      <c r="L85" t="s">
        <v>29</v>
      </c>
      <c r="M85" t="s">
        <v>19</v>
      </c>
      <c r="N85" t="str">
        <f>IF(OR(AmazonSales[[#This Row],[Delivery Status]] = "Cancelled",AmazonSales[[#This Row],[Cancel Date]] &lt;&gt; ""),"Cancelled","Completed")</f>
        <v>Completed</v>
      </c>
      <c r="O85" t="str">
        <f>_xlfn.XLOOKUP(AmazonSales[[#This Row],[Product ID]],ProductMaster[Product ID],ProductMaster[Category],,,1)</f>
        <v>Fashion</v>
      </c>
      <c r="P85" t="str">
        <f>IF(AmazonSales[[#This Row],[Delivery Date]]="","",AmazonSales[[#This Row],[Delivery Date]]-AmazonSales[[#This Row],[Order Date]])</f>
        <v/>
      </c>
      <c r="Q85" t="str">
        <f>_xlfn.XLOOKUP(AmazonSales[[#This Row],[Customer ID]],CustomerMaster[Customer ID],CustomerMaster[Customer Name],"not_found",0,1)</f>
        <v>Ava White</v>
      </c>
      <c r="R85" t="str">
        <f>IF(AmazonSales[[#This Row],[Delivery Date]] = "","",IF(AmazonSales[[#This Row],[Delivery Date]]-AmazonSales[[#This Row],[Order Date]] &lt;= 2,"Fast","Slow"))</f>
        <v/>
      </c>
      <c r="S85" t="str">
        <f>IF(AmazonSales[[#This Row],[Cancel Date]]&lt;&gt; "","cancelled","not_cancelled")</f>
        <v>not_cancelled</v>
      </c>
      <c r="T85">
        <f>IF(AmazonSales[[#This Row],[Cancel_orders]] = "cancelled",1,0)</f>
        <v>0</v>
      </c>
      <c r="U85">
        <f>IF(AmazonSales[[#This Row],[Delivery Status]] = "Delivered",AmazonSales[[#This Row],[Total Amount]],0)</f>
        <v>0</v>
      </c>
      <c r="V85">
        <f>IF(AmazonSales[[#This Row],[Delivery_Performance]] = "Fast",1,0)</f>
        <v>0</v>
      </c>
    </row>
    <row r="86" spans="1:22" x14ac:dyDescent="0.25">
      <c r="A86" t="s">
        <v>175</v>
      </c>
      <c r="B86" s="1">
        <v>44992</v>
      </c>
      <c r="E86" t="s">
        <v>60</v>
      </c>
      <c r="F86" t="s">
        <v>53</v>
      </c>
      <c r="G86" t="s">
        <v>23</v>
      </c>
      <c r="H86">
        <v>43</v>
      </c>
      <c r="I86">
        <v>5</v>
      </c>
      <c r="J86">
        <v>215</v>
      </c>
      <c r="K86" t="s">
        <v>46</v>
      </c>
      <c r="L86" t="s">
        <v>29</v>
      </c>
      <c r="M86" t="s">
        <v>19</v>
      </c>
      <c r="N86" t="str">
        <f>IF(OR(AmazonSales[[#This Row],[Delivery Status]] = "Cancelled",AmazonSales[[#This Row],[Cancel Date]] &lt;&gt; ""),"Cancelled","Completed")</f>
        <v>Completed</v>
      </c>
      <c r="O86" t="str">
        <f>_xlfn.XLOOKUP(AmazonSales[[#This Row],[Product ID]],ProductMaster[Product ID],ProductMaster[Category],,,1)</f>
        <v>Fashion</v>
      </c>
      <c r="P86" t="str">
        <f>IF(AmazonSales[[#This Row],[Delivery Date]]="","",AmazonSales[[#This Row],[Delivery Date]]-AmazonSales[[#This Row],[Order Date]])</f>
        <v/>
      </c>
      <c r="Q86" t="str">
        <f>_xlfn.XLOOKUP(AmazonSales[[#This Row],[Customer ID]],CustomerMaster[Customer ID],CustomerMaster[Customer Name],"not_found",0,1)</f>
        <v>Emily Johnson</v>
      </c>
      <c r="R86" t="str">
        <f>IF(AmazonSales[[#This Row],[Delivery Date]] = "","",IF(AmazonSales[[#This Row],[Delivery Date]]-AmazonSales[[#This Row],[Order Date]] &lt;= 2,"Fast","Slow"))</f>
        <v/>
      </c>
      <c r="S86" t="str">
        <f>IF(AmazonSales[[#This Row],[Cancel Date]]&lt;&gt; "","cancelled","not_cancelled")</f>
        <v>not_cancelled</v>
      </c>
      <c r="T86">
        <f>IF(AmazonSales[[#This Row],[Cancel_orders]] = "cancelled",1,0)</f>
        <v>0</v>
      </c>
      <c r="U86">
        <f>IF(AmazonSales[[#This Row],[Delivery Status]] = "Delivered",AmazonSales[[#This Row],[Total Amount]],0)</f>
        <v>0</v>
      </c>
      <c r="V86">
        <f>IF(AmazonSales[[#This Row],[Delivery_Performance]] = "Fast",1,0)</f>
        <v>0</v>
      </c>
    </row>
    <row r="87" spans="1:22" x14ac:dyDescent="0.25">
      <c r="A87" t="s">
        <v>176</v>
      </c>
      <c r="B87" s="1">
        <v>45240</v>
      </c>
      <c r="E87" t="s">
        <v>97</v>
      </c>
      <c r="F87" t="s">
        <v>111</v>
      </c>
      <c r="G87" t="s">
        <v>50</v>
      </c>
      <c r="H87">
        <v>210</v>
      </c>
      <c r="I87">
        <v>1</v>
      </c>
      <c r="J87">
        <v>210</v>
      </c>
      <c r="K87" t="s">
        <v>33</v>
      </c>
      <c r="L87" t="s">
        <v>29</v>
      </c>
      <c r="M87" t="s">
        <v>34</v>
      </c>
      <c r="N87" t="str">
        <f>IF(OR(AmazonSales[[#This Row],[Delivery Status]] = "Cancelled",AmazonSales[[#This Row],[Cancel Date]] &lt;&gt; ""),"Cancelled","Completed")</f>
        <v>Completed</v>
      </c>
      <c r="O87" t="str">
        <f>_xlfn.XLOOKUP(AmazonSales[[#This Row],[Product ID]],ProductMaster[Product ID],ProductMaster[Category],,,1)</f>
        <v>Home</v>
      </c>
      <c r="P87" t="str">
        <f>IF(AmazonSales[[#This Row],[Delivery Date]]="","",AmazonSales[[#This Row],[Delivery Date]]-AmazonSales[[#This Row],[Order Date]])</f>
        <v/>
      </c>
      <c r="Q87" t="str">
        <f>_xlfn.XLOOKUP(AmazonSales[[#This Row],[Customer ID]],CustomerMaster[Customer ID],CustomerMaster[Customer Name],"not_found",0,1)</f>
        <v>Liam Walker</v>
      </c>
      <c r="R87" t="str">
        <f>IF(AmazonSales[[#This Row],[Delivery Date]] = "","",IF(AmazonSales[[#This Row],[Delivery Date]]-AmazonSales[[#This Row],[Order Date]] &lt;= 2,"Fast","Slow"))</f>
        <v/>
      </c>
      <c r="S87" t="str">
        <f>IF(AmazonSales[[#This Row],[Cancel Date]]&lt;&gt; "","cancelled","not_cancelled")</f>
        <v>not_cancelled</v>
      </c>
      <c r="T87">
        <f>IF(AmazonSales[[#This Row],[Cancel_orders]] = "cancelled",1,0)</f>
        <v>0</v>
      </c>
      <c r="U87">
        <f>IF(AmazonSales[[#This Row],[Delivery Status]] = "Delivered",AmazonSales[[#This Row],[Total Amount]],0)</f>
        <v>0</v>
      </c>
      <c r="V87">
        <f>IF(AmazonSales[[#This Row],[Delivery_Performance]] = "Fast",1,0)</f>
        <v>0</v>
      </c>
    </row>
    <row r="88" spans="1:22" x14ac:dyDescent="0.25">
      <c r="A88" t="s">
        <v>177</v>
      </c>
      <c r="B88" s="1">
        <v>45252</v>
      </c>
      <c r="E88" t="s">
        <v>178</v>
      </c>
      <c r="F88" t="s">
        <v>49</v>
      </c>
      <c r="G88" t="s">
        <v>28</v>
      </c>
      <c r="H88">
        <v>37</v>
      </c>
      <c r="I88">
        <v>3</v>
      </c>
      <c r="J88">
        <v>111</v>
      </c>
      <c r="K88" t="s">
        <v>24</v>
      </c>
      <c r="L88" t="s">
        <v>29</v>
      </c>
      <c r="M88" t="s">
        <v>34</v>
      </c>
      <c r="N88" t="str">
        <f>IF(OR(AmazonSales[[#This Row],[Delivery Status]] = "Cancelled",AmazonSales[[#This Row],[Cancel Date]] &lt;&gt; ""),"Cancelled","Completed")</f>
        <v>Completed</v>
      </c>
      <c r="O88" t="str">
        <f>_xlfn.XLOOKUP(AmazonSales[[#This Row],[Product ID]],ProductMaster[Product ID],ProductMaster[Category],,,1)</f>
        <v>Home</v>
      </c>
      <c r="P88" t="str">
        <f>IF(AmazonSales[[#This Row],[Delivery Date]]="","",AmazonSales[[#This Row],[Delivery Date]]-AmazonSales[[#This Row],[Order Date]])</f>
        <v/>
      </c>
      <c r="Q88" t="str">
        <f>_xlfn.XLOOKUP(AmazonSales[[#This Row],[Customer ID]],CustomerMaster[Customer ID],CustomerMaster[Customer Name],"not_found",0,1)</f>
        <v>Lily Reed</v>
      </c>
      <c r="R88" t="str">
        <f>IF(AmazonSales[[#This Row],[Delivery Date]] = "","",IF(AmazonSales[[#This Row],[Delivery Date]]-AmazonSales[[#This Row],[Order Date]] &lt;= 2,"Fast","Slow"))</f>
        <v/>
      </c>
      <c r="S88" t="str">
        <f>IF(AmazonSales[[#This Row],[Cancel Date]]&lt;&gt; "","cancelled","not_cancelled")</f>
        <v>not_cancelled</v>
      </c>
      <c r="T88">
        <f>IF(AmazonSales[[#This Row],[Cancel_orders]] = "cancelled",1,0)</f>
        <v>0</v>
      </c>
      <c r="U88">
        <f>IF(AmazonSales[[#This Row],[Delivery Status]] = "Delivered",AmazonSales[[#This Row],[Total Amount]],0)</f>
        <v>0</v>
      </c>
      <c r="V88">
        <f>IF(AmazonSales[[#This Row],[Delivery_Performance]] = "Fast",1,0)</f>
        <v>0</v>
      </c>
    </row>
    <row r="89" spans="1:22" x14ac:dyDescent="0.25">
      <c r="A89" t="s">
        <v>179</v>
      </c>
      <c r="B89" s="1">
        <v>45054</v>
      </c>
      <c r="E89" t="s">
        <v>97</v>
      </c>
      <c r="F89" t="s">
        <v>81</v>
      </c>
      <c r="G89" t="s">
        <v>28</v>
      </c>
      <c r="H89">
        <v>788</v>
      </c>
      <c r="I89">
        <v>4</v>
      </c>
      <c r="J89">
        <v>3152</v>
      </c>
      <c r="K89" t="s">
        <v>46</v>
      </c>
      <c r="L89" t="s">
        <v>29</v>
      </c>
      <c r="M89" t="s">
        <v>38</v>
      </c>
      <c r="N89" t="str">
        <f>IF(OR(AmazonSales[[#This Row],[Delivery Status]] = "Cancelled",AmazonSales[[#This Row],[Cancel Date]] &lt;&gt; ""),"Cancelled","Completed")</f>
        <v>Completed</v>
      </c>
      <c r="O89" t="str">
        <f>_xlfn.XLOOKUP(AmazonSales[[#This Row],[Product ID]],ProductMaster[Product ID],ProductMaster[Category],,,1)</f>
        <v>Electronics</v>
      </c>
      <c r="P89" t="str">
        <f>IF(AmazonSales[[#This Row],[Delivery Date]]="","",AmazonSales[[#This Row],[Delivery Date]]-AmazonSales[[#This Row],[Order Date]])</f>
        <v/>
      </c>
      <c r="Q89" t="str">
        <f>_xlfn.XLOOKUP(AmazonSales[[#This Row],[Customer ID]],CustomerMaster[Customer ID],CustomerMaster[Customer Name],"not_found",0,1)</f>
        <v>Liam Walker</v>
      </c>
      <c r="R89" t="str">
        <f>IF(AmazonSales[[#This Row],[Delivery Date]] = "","",IF(AmazonSales[[#This Row],[Delivery Date]]-AmazonSales[[#This Row],[Order Date]] &lt;= 2,"Fast","Slow"))</f>
        <v/>
      </c>
      <c r="S89" t="str">
        <f>IF(AmazonSales[[#This Row],[Cancel Date]]&lt;&gt; "","cancelled","not_cancelled")</f>
        <v>not_cancelled</v>
      </c>
      <c r="T89">
        <f>IF(AmazonSales[[#This Row],[Cancel_orders]] = "cancelled",1,0)</f>
        <v>0</v>
      </c>
      <c r="U89">
        <f>IF(AmazonSales[[#This Row],[Delivery Status]] = "Delivered",AmazonSales[[#This Row],[Total Amount]],0)</f>
        <v>0</v>
      </c>
      <c r="V89">
        <f>IF(AmazonSales[[#This Row],[Delivery_Performance]] = "Fast",1,0)</f>
        <v>0</v>
      </c>
    </row>
    <row r="90" spans="1:22" x14ac:dyDescent="0.25">
      <c r="A90" t="s">
        <v>180</v>
      </c>
      <c r="B90" s="1">
        <v>45120</v>
      </c>
      <c r="E90" t="s">
        <v>97</v>
      </c>
      <c r="F90" t="s">
        <v>111</v>
      </c>
      <c r="G90" t="s">
        <v>50</v>
      </c>
      <c r="H90">
        <v>217</v>
      </c>
      <c r="I90">
        <v>5</v>
      </c>
      <c r="J90">
        <v>1085</v>
      </c>
      <c r="K90" t="s">
        <v>46</v>
      </c>
      <c r="L90" t="s">
        <v>29</v>
      </c>
      <c r="M90" t="s">
        <v>61</v>
      </c>
      <c r="N90" t="str">
        <f>IF(OR(AmazonSales[[#This Row],[Delivery Status]] = "Cancelled",AmazonSales[[#This Row],[Cancel Date]] &lt;&gt; ""),"Cancelled","Completed")</f>
        <v>Completed</v>
      </c>
      <c r="O90" t="str">
        <f>_xlfn.XLOOKUP(AmazonSales[[#This Row],[Product ID]],ProductMaster[Product ID],ProductMaster[Category],,,1)</f>
        <v>Home</v>
      </c>
      <c r="P90" t="str">
        <f>IF(AmazonSales[[#This Row],[Delivery Date]]="","",AmazonSales[[#This Row],[Delivery Date]]-AmazonSales[[#This Row],[Order Date]])</f>
        <v/>
      </c>
      <c r="Q90" t="str">
        <f>_xlfn.XLOOKUP(AmazonSales[[#This Row],[Customer ID]],CustomerMaster[Customer ID],CustomerMaster[Customer Name],"not_found",0,1)</f>
        <v>Liam Walker</v>
      </c>
      <c r="R90" t="str">
        <f>IF(AmazonSales[[#This Row],[Delivery Date]] = "","",IF(AmazonSales[[#This Row],[Delivery Date]]-AmazonSales[[#This Row],[Order Date]] &lt;= 2,"Fast","Slow"))</f>
        <v/>
      </c>
      <c r="S90" t="str">
        <f>IF(AmazonSales[[#This Row],[Cancel Date]]&lt;&gt; "","cancelled","not_cancelled")</f>
        <v>not_cancelled</v>
      </c>
      <c r="T90">
        <f>IF(AmazonSales[[#This Row],[Cancel_orders]] = "cancelled",1,0)</f>
        <v>0</v>
      </c>
      <c r="U90">
        <f>IF(AmazonSales[[#This Row],[Delivery Status]] = "Delivered",AmazonSales[[#This Row],[Total Amount]],0)</f>
        <v>0</v>
      </c>
      <c r="V90">
        <f>IF(AmazonSales[[#This Row],[Delivery_Performance]] = "Fast",1,0)</f>
        <v>0</v>
      </c>
    </row>
    <row r="91" spans="1:22" x14ac:dyDescent="0.25">
      <c r="A91" t="s">
        <v>181</v>
      </c>
      <c r="B91" s="1">
        <v>44944</v>
      </c>
      <c r="E91" t="s">
        <v>97</v>
      </c>
      <c r="F91" t="s">
        <v>55</v>
      </c>
      <c r="G91" t="s">
        <v>50</v>
      </c>
      <c r="H91">
        <v>138</v>
      </c>
      <c r="I91">
        <v>4</v>
      </c>
      <c r="J91">
        <v>552</v>
      </c>
      <c r="K91" t="s">
        <v>24</v>
      </c>
      <c r="L91" t="s">
        <v>29</v>
      </c>
      <c r="M91" t="s">
        <v>61</v>
      </c>
      <c r="N91" t="str">
        <f>IF(OR(AmazonSales[[#This Row],[Delivery Status]] = "Cancelled",AmazonSales[[#This Row],[Cancel Date]] &lt;&gt; ""),"Cancelled","Completed")</f>
        <v>Completed</v>
      </c>
      <c r="O91" t="str">
        <f>_xlfn.XLOOKUP(AmazonSales[[#This Row],[Product ID]],ProductMaster[Product ID],ProductMaster[Category],,,1)</f>
        <v>Home</v>
      </c>
      <c r="P91" t="str">
        <f>IF(AmazonSales[[#This Row],[Delivery Date]]="","",AmazonSales[[#This Row],[Delivery Date]]-AmazonSales[[#This Row],[Order Date]])</f>
        <v/>
      </c>
      <c r="Q91" t="str">
        <f>_xlfn.XLOOKUP(AmazonSales[[#This Row],[Customer ID]],CustomerMaster[Customer ID],CustomerMaster[Customer Name],"not_found",0,1)</f>
        <v>Liam Walker</v>
      </c>
      <c r="R91" t="str">
        <f>IF(AmazonSales[[#This Row],[Delivery Date]] = "","",IF(AmazonSales[[#This Row],[Delivery Date]]-AmazonSales[[#This Row],[Order Date]] &lt;= 2,"Fast","Slow"))</f>
        <v/>
      </c>
      <c r="S91" t="str">
        <f>IF(AmazonSales[[#This Row],[Cancel Date]]&lt;&gt; "","cancelled","not_cancelled")</f>
        <v>not_cancelled</v>
      </c>
      <c r="T91">
        <f>IF(AmazonSales[[#This Row],[Cancel_orders]] = "cancelled",1,0)</f>
        <v>0</v>
      </c>
      <c r="U91">
        <f>IF(AmazonSales[[#This Row],[Delivery Status]] = "Delivered",AmazonSales[[#This Row],[Total Amount]],0)</f>
        <v>0</v>
      </c>
      <c r="V91">
        <f>IF(AmazonSales[[#This Row],[Delivery_Performance]] = "Fast",1,0)</f>
        <v>0</v>
      </c>
    </row>
    <row r="92" spans="1:22" x14ac:dyDescent="0.25">
      <c r="A92" t="s">
        <v>182</v>
      </c>
      <c r="B92" s="1">
        <v>45100</v>
      </c>
      <c r="C92" s="1">
        <v>45106</v>
      </c>
      <c r="E92" t="s">
        <v>183</v>
      </c>
      <c r="F92" t="s">
        <v>81</v>
      </c>
      <c r="G92" t="s">
        <v>45</v>
      </c>
      <c r="H92">
        <v>803</v>
      </c>
      <c r="I92">
        <v>2</v>
      </c>
      <c r="J92">
        <v>1606</v>
      </c>
      <c r="K92" t="s">
        <v>17</v>
      </c>
      <c r="L92" t="s">
        <v>25</v>
      </c>
      <c r="M92" t="s">
        <v>61</v>
      </c>
      <c r="N92" t="str">
        <f>IF(OR(AmazonSales[[#This Row],[Delivery Status]] = "Cancelled",AmazonSales[[#This Row],[Cancel Date]] &lt;&gt; ""),"Cancelled","Completed")</f>
        <v>Completed</v>
      </c>
      <c r="O92" t="str">
        <f>_xlfn.XLOOKUP(AmazonSales[[#This Row],[Product ID]],ProductMaster[Product ID],ProductMaster[Category],,,1)</f>
        <v>Electronics</v>
      </c>
      <c r="P92">
        <f>IF(AmazonSales[[#This Row],[Delivery Date]]="","",AmazonSales[[#This Row],[Delivery Date]]-AmazonSales[[#This Row],[Order Date]])</f>
        <v>6</v>
      </c>
      <c r="Q92" t="str">
        <f>_xlfn.XLOOKUP(AmazonSales[[#This Row],[Customer ID]],CustomerMaster[Customer ID],CustomerMaster[Customer Name],"not_found",0,1)</f>
        <v>Mason Collins</v>
      </c>
      <c r="R92" t="str">
        <f>IF(AmazonSales[[#This Row],[Delivery Date]] = "","",IF(AmazonSales[[#This Row],[Delivery Date]]-AmazonSales[[#This Row],[Order Date]] &lt;= 2,"Fast","Slow"))</f>
        <v>Slow</v>
      </c>
      <c r="S92" t="str">
        <f>IF(AmazonSales[[#This Row],[Cancel Date]]&lt;&gt; "","cancelled","not_cancelled")</f>
        <v>not_cancelled</v>
      </c>
      <c r="T92">
        <f>IF(AmazonSales[[#This Row],[Cancel_orders]] = "cancelled",1,0)</f>
        <v>0</v>
      </c>
      <c r="U92">
        <f>IF(AmazonSales[[#This Row],[Delivery Status]] = "Delivered",AmazonSales[[#This Row],[Total Amount]],0)</f>
        <v>1606</v>
      </c>
      <c r="V92">
        <f>IF(AmazonSales[[#This Row],[Delivery_Performance]] = "Fast",1,0)</f>
        <v>0</v>
      </c>
    </row>
    <row r="93" spans="1:22" x14ac:dyDescent="0.25">
      <c r="A93" t="s">
        <v>184</v>
      </c>
      <c r="B93" s="1">
        <v>44978</v>
      </c>
      <c r="D93" s="1">
        <v>44982</v>
      </c>
      <c r="E93" t="s">
        <v>52</v>
      </c>
      <c r="F93" t="s">
        <v>58</v>
      </c>
      <c r="G93" t="s">
        <v>16</v>
      </c>
      <c r="H93">
        <v>248</v>
      </c>
      <c r="I93">
        <v>5</v>
      </c>
      <c r="J93">
        <v>1240</v>
      </c>
      <c r="K93" t="s">
        <v>33</v>
      </c>
      <c r="L93" t="s">
        <v>18</v>
      </c>
      <c r="M93" t="s">
        <v>34</v>
      </c>
      <c r="N93" t="str">
        <f>IF(OR(AmazonSales[[#This Row],[Delivery Status]] = "Cancelled",AmazonSales[[#This Row],[Cancel Date]] &lt;&gt; ""),"Cancelled","Completed")</f>
        <v>Cancelled</v>
      </c>
      <c r="O93" t="str">
        <f>_xlfn.XLOOKUP(AmazonSales[[#This Row],[Product ID]],ProductMaster[Product ID],ProductMaster[Category],,,1)</f>
        <v>Electronics</v>
      </c>
      <c r="P93" t="str">
        <f>IF(AmazonSales[[#This Row],[Delivery Date]]="","",AmazonSales[[#This Row],[Delivery Date]]-AmazonSales[[#This Row],[Order Date]])</f>
        <v/>
      </c>
      <c r="Q93" t="str">
        <f>_xlfn.XLOOKUP(AmazonSales[[#This Row],[Customer ID]],CustomerMaster[Customer ID],CustomerMaster[Customer Name],"not_found",0,1)</f>
        <v>Olivia Martinez</v>
      </c>
      <c r="R93" t="str">
        <f>IF(AmazonSales[[#This Row],[Delivery Date]] = "","",IF(AmazonSales[[#This Row],[Delivery Date]]-AmazonSales[[#This Row],[Order Date]] &lt;= 2,"Fast","Slow"))</f>
        <v/>
      </c>
      <c r="S93" t="str">
        <f>IF(AmazonSales[[#This Row],[Cancel Date]]&lt;&gt; "","cancelled","not_cancelled")</f>
        <v>cancelled</v>
      </c>
      <c r="T93">
        <f>IF(AmazonSales[[#This Row],[Cancel_orders]] = "cancelled",1,0)</f>
        <v>1</v>
      </c>
      <c r="U93">
        <f>IF(AmazonSales[[#This Row],[Delivery Status]] = "Delivered",AmazonSales[[#This Row],[Total Amount]],0)</f>
        <v>0</v>
      </c>
      <c r="V93">
        <f>IF(AmazonSales[[#This Row],[Delivery_Performance]] = "Fast",1,0)</f>
        <v>0</v>
      </c>
    </row>
    <row r="94" spans="1:22" x14ac:dyDescent="0.25">
      <c r="A94" t="s">
        <v>185</v>
      </c>
      <c r="B94" s="1">
        <v>44976</v>
      </c>
      <c r="C94" s="1">
        <v>44978</v>
      </c>
      <c r="E94" t="s">
        <v>186</v>
      </c>
      <c r="F94" t="s">
        <v>111</v>
      </c>
      <c r="G94" t="s">
        <v>23</v>
      </c>
      <c r="H94">
        <v>210</v>
      </c>
      <c r="I94">
        <v>3</v>
      </c>
      <c r="J94">
        <v>630</v>
      </c>
      <c r="K94" t="s">
        <v>17</v>
      </c>
      <c r="L94" t="s">
        <v>25</v>
      </c>
      <c r="M94" t="s">
        <v>19</v>
      </c>
      <c r="N94" t="str">
        <f>IF(OR(AmazonSales[[#This Row],[Delivery Status]] = "Cancelled",AmazonSales[[#This Row],[Cancel Date]] &lt;&gt; ""),"Cancelled","Completed")</f>
        <v>Completed</v>
      </c>
      <c r="O94" t="str">
        <f>_xlfn.XLOOKUP(AmazonSales[[#This Row],[Product ID]],ProductMaster[Product ID],ProductMaster[Category],,,1)</f>
        <v>Home</v>
      </c>
      <c r="P94">
        <f>IF(AmazonSales[[#This Row],[Delivery Date]]="","",AmazonSales[[#This Row],[Delivery Date]]-AmazonSales[[#This Row],[Order Date]])</f>
        <v>2</v>
      </c>
      <c r="Q94" t="str">
        <f>_xlfn.XLOOKUP(AmazonSales[[#This Row],[Customer ID]],CustomerMaster[Customer ID],CustomerMaster[Customer Name],"not_found",0,1)</f>
        <v>Ethan Davis</v>
      </c>
      <c r="R94" t="str">
        <f>IF(AmazonSales[[#This Row],[Delivery Date]] = "","",IF(AmazonSales[[#This Row],[Delivery Date]]-AmazonSales[[#This Row],[Order Date]] &lt;= 2,"Fast","Slow"))</f>
        <v>Fast</v>
      </c>
      <c r="S94" t="str">
        <f>IF(AmazonSales[[#This Row],[Cancel Date]]&lt;&gt; "","cancelled","not_cancelled")</f>
        <v>not_cancelled</v>
      </c>
      <c r="T94">
        <f>IF(AmazonSales[[#This Row],[Cancel_orders]] = "cancelled",1,0)</f>
        <v>0</v>
      </c>
      <c r="U94">
        <f>IF(AmazonSales[[#This Row],[Delivery Status]] = "Delivered",AmazonSales[[#This Row],[Total Amount]],0)</f>
        <v>630</v>
      </c>
      <c r="V94">
        <f>IF(AmazonSales[[#This Row],[Delivery_Performance]] = "Fast",1,0)</f>
        <v>1</v>
      </c>
    </row>
    <row r="95" spans="1:22" x14ac:dyDescent="0.25">
      <c r="A95" t="s">
        <v>187</v>
      </c>
      <c r="B95" s="1">
        <v>45265</v>
      </c>
      <c r="D95" s="1">
        <v>45272</v>
      </c>
      <c r="E95" t="s">
        <v>52</v>
      </c>
      <c r="F95" t="s">
        <v>119</v>
      </c>
      <c r="G95" t="s">
        <v>16</v>
      </c>
      <c r="H95">
        <v>62</v>
      </c>
      <c r="I95">
        <v>2</v>
      </c>
      <c r="J95">
        <v>124</v>
      </c>
      <c r="K95" t="s">
        <v>24</v>
      </c>
      <c r="L95" t="s">
        <v>18</v>
      </c>
      <c r="M95" t="s">
        <v>61</v>
      </c>
      <c r="N95" t="str">
        <f>IF(OR(AmazonSales[[#This Row],[Delivery Status]] = "Cancelled",AmazonSales[[#This Row],[Cancel Date]] &lt;&gt; ""),"Cancelled","Completed")</f>
        <v>Cancelled</v>
      </c>
      <c r="O95" t="str">
        <f>_xlfn.XLOOKUP(AmazonSales[[#This Row],[Product ID]],ProductMaster[Product ID],ProductMaster[Category],,,1)</f>
        <v>Toys</v>
      </c>
      <c r="P95" t="str">
        <f>IF(AmazonSales[[#This Row],[Delivery Date]]="","",AmazonSales[[#This Row],[Delivery Date]]-AmazonSales[[#This Row],[Order Date]])</f>
        <v/>
      </c>
      <c r="Q95" t="str">
        <f>_xlfn.XLOOKUP(AmazonSales[[#This Row],[Customer ID]],CustomerMaster[Customer ID],CustomerMaster[Customer Name],"not_found",0,1)</f>
        <v>Olivia Martinez</v>
      </c>
      <c r="R95" t="str">
        <f>IF(AmazonSales[[#This Row],[Delivery Date]] = "","",IF(AmazonSales[[#This Row],[Delivery Date]]-AmazonSales[[#This Row],[Order Date]] &lt;= 2,"Fast","Slow"))</f>
        <v/>
      </c>
      <c r="S95" t="str">
        <f>IF(AmazonSales[[#This Row],[Cancel Date]]&lt;&gt; "","cancelled","not_cancelled")</f>
        <v>cancelled</v>
      </c>
      <c r="T95">
        <f>IF(AmazonSales[[#This Row],[Cancel_orders]] = "cancelled",1,0)</f>
        <v>1</v>
      </c>
      <c r="U95">
        <f>IF(AmazonSales[[#This Row],[Delivery Status]] = "Delivered",AmazonSales[[#This Row],[Total Amount]],0)</f>
        <v>0</v>
      </c>
      <c r="V95">
        <f>IF(AmazonSales[[#This Row],[Delivery_Performance]] = "Fast",1,0)</f>
        <v>0</v>
      </c>
    </row>
    <row r="96" spans="1:22" x14ac:dyDescent="0.25">
      <c r="A96" t="s">
        <v>188</v>
      </c>
      <c r="B96" s="1">
        <v>45084</v>
      </c>
      <c r="D96" s="1">
        <v>45089</v>
      </c>
      <c r="E96" t="s">
        <v>178</v>
      </c>
      <c r="F96" t="s">
        <v>104</v>
      </c>
      <c r="G96" t="s">
        <v>28</v>
      </c>
      <c r="H96">
        <v>11</v>
      </c>
      <c r="I96">
        <v>5</v>
      </c>
      <c r="J96">
        <v>55</v>
      </c>
      <c r="K96" t="s">
        <v>46</v>
      </c>
      <c r="L96" t="s">
        <v>18</v>
      </c>
      <c r="M96" t="s">
        <v>38</v>
      </c>
      <c r="N96" t="str">
        <f>IF(OR(AmazonSales[[#This Row],[Delivery Status]] = "Cancelled",AmazonSales[[#This Row],[Cancel Date]] &lt;&gt; ""),"Cancelled","Completed")</f>
        <v>Cancelled</v>
      </c>
      <c r="O96" t="str">
        <f>_xlfn.XLOOKUP(AmazonSales[[#This Row],[Product ID]],ProductMaster[Product ID],ProductMaster[Category],,,1)</f>
        <v>Books</v>
      </c>
      <c r="P96" t="str">
        <f>IF(AmazonSales[[#This Row],[Delivery Date]]="","",AmazonSales[[#This Row],[Delivery Date]]-AmazonSales[[#This Row],[Order Date]])</f>
        <v/>
      </c>
      <c r="Q96" t="str">
        <f>_xlfn.XLOOKUP(AmazonSales[[#This Row],[Customer ID]],CustomerMaster[Customer ID],CustomerMaster[Customer Name],"not_found",0,1)</f>
        <v>Lily Reed</v>
      </c>
      <c r="R96" t="str">
        <f>IF(AmazonSales[[#This Row],[Delivery Date]] = "","",IF(AmazonSales[[#This Row],[Delivery Date]]-AmazonSales[[#This Row],[Order Date]] &lt;= 2,"Fast","Slow"))</f>
        <v/>
      </c>
      <c r="S96" t="str">
        <f>IF(AmazonSales[[#This Row],[Cancel Date]]&lt;&gt; "","cancelled","not_cancelled")</f>
        <v>cancelled</v>
      </c>
      <c r="T96">
        <f>IF(AmazonSales[[#This Row],[Cancel_orders]] = "cancelled",1,0)</f>
        <v>1</v>
      </c>
      <c r="U96">
        <f>IF(AmazonSales[[#This Row],[Delivery Status]] = "Delivered",AmazonSales[[#This Row],[Total Amount]],0)</f>
        <v>0</v>
      </c>
      <c r="V96">
        <f>IF(AmazonSales[[#This Row],[Delivery_Performance]] = "Fast",1,0)</f>
        <v>0</v>
      </c>
    </row>
    <row r="97" spans="1:22" x14ac:dyDescent="0.25">
      <c r="A97" t="s">
        <v>189</v>
      </c>
      <c r="B97" s="1">
        <v>45116</v>
      </c>
      <c r="C97" s="1">
        <v>45119</v>
      </c>
      <c r="E97" t="s">
        <v>139</v>
      </c>
      <c r="F97" t="s">
        <v>73</v>
      </c>
      <c r="G97" t="s">
        <v>16</v>
      </c>
      <c r="H97">
        <v>21</v>
      </c>
      <c r="I97">
        <v>2</v>
      </c>
      <c r="J97">
        <v>42</v>
      </c>
      <c r="K97" t="s">
        <v>41</v>
      </c>
      <c r="L97" t="s">
        <v>25</v>
      </c>
      <c r="M97" t="s">
        <v>34</v>
      </c>
      <c r="N97" t="str">
        <f>IF(OR(AmazonSales[[#This Row],[Delivery Status]] = "Cancelled",AmazonSales[[#This Row],[Cancel Date]] &lt;&gt; ""),"Cancelled","Completed")</f>
        <v>Completed</v>
      </c>
      <c r="O97" t="str">
        <f>_xlfn.XLOOKUP(AmazonSales[[#This Row],[Product ID]],ProductMaster[Product ID],ProductMaster[Category],,,1)</f>
        <v>Books</v>
      </c>
      <c r="P97">
        <f>IF(AmazonSales[[#This Row],[Delivery Date]]="","",AmazonSales[[#This Row],[Delivery Date]]-AmazonSales[[#This Row],[Order Date]])</f>
        <v>3</v>
      </c>
      <c r="Q97" t="str">
        <f>_xlfn.XLOOKUP(AmazonSales[[#This Row],[Customer ID]],CustomerMaster[Customer ID],CustomerMaster[Customer Name],"not_found",0,1)</f>
        <v>Emma King</v>
      </c>
      <c r="R97" t="str">
        <f>IF(AmazonSales[[#This Row],[Delivery Date]] = "","",IF(AmazonSales[[#This Row],[Delivery Date]]-AmazonSales[[#This Row],[Order Date]] &lt;= 2,"Fast","Slow"))</f>
        <v>Slow</v>
      </c>
      <c r="S97" t="str">
        <f>IF(AmazonSales[[#This Row],[Cancel Date]]&lt;&gt; "","cancelled","not_cancelled")</f>
        <v>not_cancelled</v>
      </c>
      <c r="T97">
        <f>IF(AmazonSales[[#This Row],[Cancel_orders]] = "cancelled",1,0)</f>
        <v>0</v>
      </c>
      <c r="U97">
        <f>IF(AmazonSales[[#This Row],[Delivery Status]] = "Delivered",AmazonSales[[#This Row],[Total Amount]],0)</f>
        <v>42</v>
      </c>
      <c r="V97">
        <f>IF(AmazonSales[[#This Row],[Delivery_Performance]] = "Fast",1,0)</f>
        <v>0</v>
      </c>
    </row>
    <row r="98" spans="1:22" x14ac:dyDescent="0.25">
      <c r="A98" t="s">
        <v>190</v>
      </c>
      <c r="B98" s="1">
        <v>45283</v>
      </c>
      <c r="C98" s="1">
        <v>45286</v>
      </c>
      <c r="E98" t="s">
        <v>63</v>
      </c>
      <c r="F98" t="s">
        <v>22</v>
      </c>
      <c r="G98" t="s">
        <v>50</v>
      </c>
      <c r="H98">
        <v>95</v>
      </c>
      <c r="I98">
        <v>5</v>
      </c>
      <c r="J98">
        <v>475</v>
      </c>
      <c r="K98" t="s">
        <v>41</v>
      </c>
      <c r="L98" t="s">
        <v>25</v>
      </c>
      <c r="M98" t="s">
        <v>38</v>
      </c>
      <c r="N98" t="str">
        <f>IF(OR(AmazonSales[[#This Row],[Delivery Status]] = "Cancelled",AmazonSales[[#This Row],[Cancel Date]] &lt;&gt; ""),"Cancelled","Completed")</f>
        <v>Completed</v>
      </c>
      <c r="O98" t="str">
        <f>_xlfn.XLOOKUP(AmazonSales[[#This Row],[Product ID]],ProductMaster[Product ID],ProductMaster[Category],,,1)</f>
        <v>Toys</v>
      </c>
      <c r="P98">
        <f>IF(AmazonSales[[#This Row],[Delivery Date]]="","",AmazonSales[[#This Row],[Delivery Date]]-AmazonSales[[#This Row],[Order Date]])</f>
        <v>3</v>
      </c>
      <c r="Q98" t="str">
        <f>_xlfn.XLOOKUP(AmazonSales[[#This Row],[Customer ID]],CustomerMaster[Customer ID],CustomerMaster[Customer Name],"not_found",0,1)</f>
        <v>Charlotte Reed</v>
      </c>
      <c r="R98" t="str">
        <f>IF(AmazonSales[[#This Row],[Delivery Date]] = "","",IF(AmazonSales[[#This Row],[Delivery Date]]-AmazonSales[[#This Row],[Order Date]] &lt;= 2,"Fast","Slow"))</f>
        <v>Slow</v>
      </c>
      <c r="S98" t="str">
        <f>IF(AmazonSales[[#This Row],[Cancel Date]]&lt;&gt; "","cancelled","not_cancelled")</f>
        <v>not_cancelled</v>
      </c>
      <c r="T98">
        <f>IF(AmazonSales[[#This Row],[Cancel_orders]] = "cancelled",1,0)</f>
        <v>0</v>
      </c>
      <c r="U98">
        <f>IF(AmazonSales[[#This Row],[Delivery Status]] = "Delivered",AmazonSales[[#This Row],[Total Amount]],0)</f>
        <v>475</v>
      </c>
      <c r="V98">
        <f>IF(AmazonSales[[#This Row],[Delivery_Performance]] = "Fast",1,0)</f>
        <v>0</v>
      </c>
    </row>
    <row r="99" spans="1:22" x14ac:dyDescent="0.25">
      <c r="A99" t="s">
        <v>191</v>
      </c>
      <c r="B99" s="1">
        <v>45194</v>
      </c>
      <c r="C99" s="1">
        <v>45199</v>
      </c>
      <c r="E99" t="s">
        <v>32</v>
      </c>
      <c r="F99" t="s">
        <v>111</v>
      </c>
      <c r="G99" t="s">
        <v>28</v>
      </c>
      <c r="H99">
        <v>215</v>
      </c>
      <c r="I99">
        <v>2</v>
      </c>
      <c r="J99">
        <v>430</v>
      </c>
      <c r="K99" t="s">
        <v>33</v>
      </c>
      <c r="L99" t="s">
        <v>25</v>
      </c>
      <c r="M99" t="s">
        <v>38</v>
      </c>
      <c r="N99" t="str">
        <f>IF(OR(AmazonSales[[#This Row],[Delivery Status]] = "Cancelled",AmazonSales[[#This Row],[Cancel Date]] &lt;&gt; ""),"Cancelled","Completed")</f>
        <v>Completed</v>
      </c>
      <c r="O99" t="str">
        <f>_xlfn.XLOOKUP(AmazonSales[[#This Row],[Product ID]],ProductMaster[Product ID],ProductMaster[Category],,,1)</f>
        <v>Home</v>
      </c>
      <c r="P99">
        <f>IF(AmazonSales[[#This Row],[Delivery Date]]="","",AmazonSales[[#This Row],[Delivery Date]]-AmazonSales[[#This Row],[Order Date]])</f>
        <v>5</v>
      </c>
      <c r="Q99" t="str">
        <f>_xlfn.XLOOKUP(AmazonSales[[#This Row],[Customer ID]],CustomerMaster[Customer ID],CustomerMaster[Customer Name],"not_found",0,1)</f>
        <v>Grace Ward</v>
      </c>
      <c r="R99" t="str">
        <f>IF(AmazonSales[[#This Row],[Delivery Date]] = "","",IF(AmazonSales[[#This Row],[Delivery Date]]-AmazonSales[[#This Row],[Order Date]] &lt;= 2,"Fast","Slow"))</f>
        <v>Slow</v>
      </c>
      <c r="S99" t="str">
        <f>IF(AmazonSales[[#This Row],[Cancel Date]]&lt;&gt; "","cancelled","not_cancelled")</f>
        <v>not_cancelled</v>
      </c>
      <c r="T99">
        <f>IF(AmazonSales[[#This Row],[Cancel_orders]] = "cancelled",1,0)</f>
        <v>0</v>
      </c>
      <c r="U99">
        <f>IF(AmazonSales[[#This Row],[Delivery Status]] = "Delivered",AmazonSales[[#This Row],[Total Amount]],0)</f>
        <v>430</v>
      </c>
      <c r="V99">
        <f>IF(AmazonSales[[#This Row],[Delivery_Performance]] = "Fast",1,0)</f>
        <v>0</v>
      </c>
    </row>
    <row r="100" spans="1:22" x14ac:dyDescent="0.25">
      <c r="A100" t="s">
        <v>192</v>
      </c>
      <c r="B100" s="1">
        <v>44944</v>
      </c>
      <c r="D100" s="1">
        <v>44950</v>
      </c>
      <c r="E100" t="s">
        <v>193</v>
      </c>
      <c r="F100" t="s">
        <v>53</v>
      </c>
      <c r="G100" t="s">
        <v>50</v>
      </c>
      <c r="H100">
        <v>43</v>
      </c>
      <c r="I100">
        <v>5</v>
      </c>
      <c r="J100">
        <v>215</v>
      </c>
      <c r="K100" t="s">
        <v>24</v>
      </c>
      <c r="L100" t="s">
        <v>18</v>
      </c>
      <c r="M100" t="s">
        <v>34</v>
      </c>
      <c r="N100" t="str">
        <f>IF(OR(AmazonSales[[#This Row],[Delivery Status]] = "Cancelled",AmazonSales[[#This Row],[Cancel Date]] &lt;&gt; ""),"Cancelled","Completed")</f>
        <v>Cancelled</v>
      </c>
      <c r="O100" t="str">
        <f>_xlfn.XLOOKUP(AmazonSales[[#This Row],[Product ID]],ProductMaster[Product ID],ProductMaster[Category],,,1)</f>
        <v>Fashion</v>
      </c>
      <c r="P100" t="str">
        <f>IF(AmazonSales[[#This Row],[Delivery Date]]="","",AmazonSales[[#This Row],[Delivery Date]]-AmazonSales[[#This Row],[Order Date]])</f>
        <v/>
      </c>
      <c r="Q100" t="str">
        <f>_xlfn.XLOOKUP(AmazonSales[[#This Row],[Customer ID]],CustomerMaster[Customer ID],CustomerMaster[Customer Name],"not_found",0,1)</f>
        <v>Lily Simmons</v>
      </c>
      <c r="R100" t="str">
        <f>IF(AmazonSales[[#This Row],[Delivery Date]] = "","",IF(AmazonSales[[#This Row],[Delivery Date]]-AmazonSales[[#This Row],[Order Date]] &lt;= 2,"Fast","Slow"))</f>
        <v/>
      </c>
      <c r="S100" t="str">
        <f>IF(AmazonSales[[#This Row],[Cancel Date]]&lt;&gt; "","cancelled","not_cancelled")</f>
        <v>cancelled</v>
      </c>
      <c r="T100">
        <f>IF(AmazonSales[[#This Row],[Cancel_orders]] = "cancelled",1,0)</f>
        <v>1</v>
      </c>
      <c r="U100">
        <f>IF(AmazonSales[[#This Row],[Delivery Status]] = "Delivered",AmazonSales[[#This Row],[Total Amount]],0)</f>
        <v>0</v>
      </c>
      <c r="V100">
        <f>IF(AmazonSales[[#This Row],[Delivery_Performance]] = "Fast",1,0)</f>
        <v>0</v>
      </c>
    </row>
    <row r="101" spans="1:22" x14ac:dyDescent="0.25">
      <c r="A101" t="s">
        <v>194</v>
      </c>
      <c r="B101" s="1">
        <v>45012</v>
      </c>
      <c r="E101" t="s">
        <v>40</v>
      </c>
      <c r="F101" t="s">
        <v>90</v>
      </c>
      <c r="G101" t="s">
        <v>50</v>
      </c>
      <c r="H101">
        <v>42</v>
      </c>
      <c r="I101">
        <v>4</v>
      </c>
      <c r="J101">
        <v>168</v>
      </c>
      <c r="K101" t="s">
        <v>46</v>
      </c>
      <c r="L101" t="s">
        <v>29</v>
      </c>
      <c r="M101" t="s">
        <v>19</v>
      </c>
      <c r="N101" t="str">
        <f>IF(OR(AmazonSales[[#This Row],[Delivery Status]] = "Cancelled",AmazonSales[[#This Row],[Cancel Date]] &lt;&gt; ""),"Cancelled","Completed")</f>
        <v>Completed</v>
      </c>
      <c r="O101" t="str">
        <f>_xlfn.XLOOKUP(AmazonSales[[#This Row],[Product ID]],ProductMaster[Product ID],ProductMaster[Category],,,1)</f>
        <v>Toys</v>
      </c>
      <c r="P101" t="str">
        <f>IF(AmazonSales[[#This Row],[Delivery Date]]="","",AmazonSales[[#This Row],[Delivery Date]]-AmazonSales[[#This Row],[Order Date]])</f>
        <v/>
      </c>
      <c r="Q101" t="str">
        <f>_xlfn.XLOOKUP(AmazonSales[[#This Row],[Customer ID]],CustomerMaster[Customer ID],CustomerMaster[Customer Name],"not_found",0,1)</f>
        <v>Jackson Allen</v>
      </c>
      <c r="R101" t="str">
        <f>IF(AmazonSales[[#This Row],[Delivery Date]] = "","",IF(AmazonSales[[#This Row],[Delivery Date]]-AmazonSales[[#This Row],[Order Date]] &lt;= 2,"Fast","Slow"))</f>
        <v/>
      </c>
      <c r="S101" t="str">
        <f>IF(AmazonSales[[#This Row],[Cancel Date]]&lt;&gt; "","cancelled","not_cancelled")</f>
        <v>not_cancelled</v>
      </c>
      <c r="T101">
        <f>IF(AmazonSales[[#This Row],[Cancel_orders]] = "cancelled",1,0)</f>
        <v>0</v>
      </c>
      <c r="U101">
        <f>IF(AmazonSales[[#This Row],[Delivery Status]] = "Delivered",AmazonSales[[#This Row],[Total Amount]],0)</f>
        <v>0</v>
      </c>
      <c r="V101">
        <f>IF(AmazonSales[[#This Row],[Delivery_Performance]] = "Fast",1,0)</f>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49928-CF3E-4E86-9EBF-75D884FCA9F2}">
  <dimension ref="C2:O36"/>
  <sheetViews>
    <sheetView showGridLines="0" showRowColHeaders="0" tabSelected="1" topLeftCell="A19" zoomScale="155" workbookViewId="0">
      <selection activeCell="Q9" sqref="Q9"/>
    </sheetView>
  </sheetViews>
  <sheetFormatPr defaultRowHeight="15" x14ac:dyDescent="0.25"/>
  <sheetData>
    <row r="2" spans="3:15" ht="15.75" thickBot="1" x14ac:dyDescent="0.3"/>
    <row r="3" spans="3:15" x14ac:dyDescent="0.25">
      <c r="C3" s="51" t="s">
        <v>378</v>
      </c>
      <c r="D3" s="52"/>
      <c r="E3" s="52"/>
      <c r="F3" s="52"/>
      <c r="G3" s="52"/>
      <c r="H3" s="52"/>
      <c r="I3" s="52"/>
      <c r="J3" s="52"/>
      <c r="K3" s="52"/>
      <c r="L3" s="52"/>
      <c r="M3" s="52"/>
      <c r="N3" s="52"/>
      <c r="O3" s="53"/>
    </row>
    <row r="4" spans="3:15" ht="15.75" thickBot="1" x14ac:dyDescent="0.3">
      <c r="C4" s="54"/>
      <c r="D4" s="55"/>
      <c r="E4" s="55"/>
      <c r="F4" s="55"/>
      <c r="G4" s="55"/>
      <c r="H4" s="55"/>
      <c r="I4" s="55"/>
      <c r="J4" s="55"/>
      <c r="K4" s="55"/>
      <c r="L4" s="55"/>
      <c r="M4" s="55"/>
      <c r="N4" s="55"/>
      <c r="O4" s="56"/>
    </row>
    <row r="5" spans="3:15" x14ac:dyDescent="0.25">
      <c r="C5" s="2"/>
      <c r="D5" s="17"/>
      <c r="E5" s="17"/>
      <c r="F5" s="17"/>
      <c r="G5" s="17"/>
      <c r="H5" s="17"/>
      <c r="I5" s="17"/>
      <c r="J5" s="17"/>
      <c r="K5" s="17"/>
      <c r="L5" s="17"/>
      <c r="M5" s="17"/>
      <c r="N5" s="17"/>
      <c r="O5" s="3"/>
    </row>
    <row r="6" spans="3:15" x14ac:dyDescent="0.25">
      <c r="C6" s="4"/>
      <c r="D6" s="22" t="s">
        <v>352</v>
      </c>
      <c r="O6" s="6"/>
    </row>
    <row r="7" spans="3:15" x14ac:dyDescent="0.25">
      <c r="C7" s="4"/>
      <c r="D7" t="s">
        <v>353</v>
      </c>
      <c r="O7" s="6"/>
    </row>
    <row r="8" spans="3:15" x14ac:dyDescent="0.25">
      <c r="C8" s="4"/>
      <c r="D8" t="s">
        <v>354</v>
      </c>
      <c r="O8" s="6"/>
    </row>
    <row r="9" spans="3:15" x14ac:dyDescent="0.25">
      <c r="C9" s="4"/>
      <c r="D9" t="s">
        <v>356</v>
      </c>
      <c r="O9" s="6"/>
    </row>
    <row r="10" spans="3:15" x14ac:dyDescent="0.25">
      <c r="C10" s="4"/>
      <c r="O10" s="6"/>
    </row>
    <row r="11" spans="3:15" x14ac:dyDescent="0.25">
      <c r="C11" s="4"/>
      <c r="D11" t="s">
        <v>355</v>
      </c>
      <c r="O11" s="6"/>
    </row>
    <row r="12" spans="3:15" x14ac:dyDescent="0.25">
      <c r="C12" s="4"/>
      <c r="D12" t="s">
        <v>357</v>
      </c>
      <c r="O12" s="6"/>
    </row>
    <row r="13" spans="3:15" x14ac:dyDescent="0.25">
      <c r="C13" s="4"/>
      <c r="D13" t="s">
        <v>358</v>
      </c>
      <c r="O13" s="6"/>
    </row>
    <row r="14" spans="3:15" x14ac:dyDescent="0.25">
      <c r="C14" s="4"/>
      <c r="D14" t="s">
        <v>359</v>
      </c>
      <c r="O14" s="6"/>
    </row>
    <row r="15" spans="3:15" x14ac:dyDescent="0.25">
      <c r="C15" s="4"/>
      <c r="O15" s="6"/>
    </row>
    <row r="16" spans="3:15" x14ac:dyDescent="0.25">
      <c r="C16" s="4"/>
      <c r="D16" s="22" t="s">
        <v>360</v>
      </c>
      <c r="O16" s="6"/>
    </row>
    <row r="17" spans="3:15" x14ac:dyDescent="0.25">
      <c r="C17" s="4"/>
      <c r="D17" t="s">
        <v>361</v>
      </c>
      <c r="O17" s="6"/>
    </row>
    <row r="18" spans="3:15" x14ac:dyDescent="0.25">
      <c r="C18" s="4"/>
      <c r="D18" t="s">
        <v>364</v>
      </c>
      <c r="O18" s="6"/>
    </row>
    <row r="19" spans="3:15" x14ac:dyDescent="0.25">
      <c r="C19" s="4"/>
      <c r="D19" t="s">
        <v>363</v>
      </c>
      <c r="O19" s="6"/>
    </row>
    <row r="20" spans="3:15" x14ac:dyDescent="0.25">
      <c r="C20" s="4"/>
      <c r="D20" t="s">
        <v>362</v>
      </c>
      <c r="O20" s="6"/>
    </row>
    <row r="21" spans="3:15" x14ac:dyDescent="0.25">
      <c r="C21" s="4"/>
      <c r="O21" s="6"/>
    </row>
    <row r="22" spans="3:15" x14ac:dyDescent="0.25">
      <c r="C22" s="4"/>
      <c r="D22" s="22" t="s">
        <v>365</v>
      </c>
      <c r="O22" s="6"/>
    </row>
    <row r="23" spans="3:15" x14ac:dyDescent="0.25">
      <c r="C23" s="4"/>
      <c r="D23" t="s">
        <v>366</v>
      </c>
      <c r="O23" s="6"/>
    </row>
    <row r="24" spans="3:15" x14ac:dyDescent="0.25">
      <c r="C24" s="4"/>
      <c r="D24" t="s">
        <v>367</v>
      </c>
      <c r="O24" s="6"/>
    </row>
    <row r="25" spans="3:15" x14ac:dyDescent="0.25">
      <c r="C25" s="4"/>
      <c r="D25" t="s">
        <v>368</v>
      </c>
      <c r="O25" s="6"/>
    </row>
    <row r="26" spans="3:15" x14ac:dyDescent="0.25">
      <c r="C26" s="4"/>
      <c r="D26" t="s">
        <v>369</v>
      </c>
      <c r="O26" s="6"/>
    </row>
    <row r="27" spans="3:15" x14ac:dyDescent="0.25">
      <c r="C27" s="4"/>
      <c r="D27" t="s">
        <v>370</v>
      </c>
      <c r="O27" s="6"/>
    </row>
    <row r="28" spans="3:15" x14ac:dyDescent="0.25">
      <c r="C28" s="4"/>
      <c r="D28" t="s">
        <v>371</v>
      </c>
      <c r="O28" s="6"/>
    </row>
    <row r="29" spans="3:15" x14ac:dyDescent="0.25">
      <c r="C29" s="4"/>
      <c r="D29" t="s">
        <v>372</v>
      </c>
      <c r="O29" s="6"/>
    </row>
    <row r="30" spans="3:15" x14ac:dyDescent="0.25">
      <c r="C30" s="4"/>
      <c r="D30" t="s">
        <v>373</v>
      </c>
      <c r="O30" s="6"/>
    </row>
    <row r="31" spans="3:15" x14ac:dyDescent="0.25">
      <c r="C31" s="4"/>
      <c r="D31" t="s">
        <v>374</v>
      </c>
      <c r="O31" s="6"/>
    </row>
    <row r="32" spans="3:15" x14ac:dyDescent="0.25">
      <c r="C32" s="4"/>
      <c r="D32" t="s">
        <v>375</v>
      </c>
      <c r="O32" s="6"/>
    </row>
    <row r="33" spans="3:15" x14ac:dyDescent="0.25">
      <c r="C33" s="4"/>
      <c r="D33" t="s">
        <v>376</v>
      </c>
      <c r="O33" s="6"/>
    </row>
    <row r="34" spans="3:15" x14ac:dyDescent="0.25">
      <c r="C34" s="4"/>
      <c r="D34" t="s">
        <v>377</v>
      </c>
      <c r="O34" s="6"/>
    </row>
    <row r="35" spans="3:15" x14ac:dyDescent="0.25">
      <c r="C35" s="4"/>
      <c r="O35" s="6"/>
    </row>
    <row r="36" spans="3:15" ht="15.75" thickBot="1" x14ac:dyDescent="0.3">
      <c r="C36" s="8"/>
      <c r="D36" s="9"/>
      <c r="E36" s="9"/>
      <c r="F36" s="9"/>
      <c r="G36" s="9"/>
      <c r="H36" s="9"/>
      <c r="I36" s="9"/>
      <c r="J36" s="9"/>
      <c r="K36" s="9"/>
      <c r="L36" s="9"/>
      <c r="M36" s="9"/>
      <c r="N36" s="9"/>
      <c r="O36" s="10"/>
    </row>
  </sheetData>
  <mergeCells count="1">
    <mergeCell ref="C3:O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1CD926-9525-432C-AE53-1A99A6F19E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RegionGoals</vt:lpstr>
      <vt:lpstr>ProductMaster</vt:lpstr>
      <vt:lpstr>CustomerMaster</vt:lpstr>
      <vt:lpstr>pivot_Table</vt:lpstr>
      <vt:lpstr>Dashboard</vt:lpstr>
      <vt:lpstr>AmazonSales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Singh</dc:creator>
  <cp:lastModifiedBy>Mohit Singh</cp:lastModifiedBy>
  <dcterms:created xsi:type="dcterms:W3CDTF">2026-01-05T09:36:53Z</dcterms:created>
  <dcterms:modified xsi:type="dcterms:W3CDTF">2026-01-11T13:59:15Z</dcterms:modified>
</cp:coreProperties>
</file>